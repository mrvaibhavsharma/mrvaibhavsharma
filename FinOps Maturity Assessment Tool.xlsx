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ke a copy first!" sheetId="1" r:id="rId4"/>
    <sheet state="visible" name="1. Start Here" sheetId="2" r:id="rId5"/>
    <sheet state="visible" name="2. Take Assessment" sheetId="3" r:id="rId6"/>
    <sheet state="visible" name="lists (hide this sheet)" sheetId="4" r:id="rId7"/>
    <sheet state="visible" name="3. View Scores over time" sheetId="5" r:id="rId8"/>
  </sheets>
  <definedNames>
    <definedName hidden="1" localSheetId="2" name="_xlnm._FilterDatabase">'2. Take Assessment'!$A$1:$AG$22</definedName>
    <definedName hidden="1" localSheetId="2" name="Z_3866B7AF_9FE3_4101_8C52_584D0AB9C54D_.wvu.FilterData">'2. Take Assessment'!$A$2:$AF$18</definedName>
    <definedName hidden="1" localSheetId="2" name="Z_3866B7AF_9FE3_4101_8C52_584D0AB9C54D_.wvu.FilterData">'2. Take Assessment'!$A$2:$AF$18</definedName>
  </definedNames>
  <calcPr/>
  <customWorkbookViews>
    <customWorkbookView activeSheetId="0" maximized="1" windowHeight="0" windowWidth="0" guid="{3866B7AF-9FE3-4101-8C52-584D0AB9C54D}" name="Filter 1"/>
  </customWorkbookViews>
  <extLst>
    <ext uri="GoogleSheetsCustomDataVersion2">
      <go:sheetsCustomData xmlns:go="http://customooxmlschemas.google.com/" r:id="rId9" roundtripDataChecksum="B9qj4ys9Rpg2FVTQtmIjEP4Xel3X8rvG9zerr2+e6r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
ID#AAABhmBOpoc
    (2025-04-08 18:00:18)
The KNOWLEDGE lens considers the capability's breadth of understanding and awareness across the target group. How widely is this concept, its mechanisms, terms, and processes known?</t>
      </text>
    </comment>
    <comment authorId="0" ref="M3">
      <text>
        <t xml:space="preserve">======
ID#AAABhmBOpoY
    (2025-04-08 18:00:18)
Note here why you selected that score. Examples of evidence would be past successes, gaps, and future ambitions.
I selected this score because...</t>
      </text>
    </comment>
    <comment authorId="0" ref="H2">
      <text>
        <t xml:space="preserve">======
ID#AAABhmBOofQ
    (2025-04-08 18:00:18)
The ADOPTION lens looks at how widely has the target group accepted this capability as part of its essential operations. Is this capability part of the target group's BAU (Business As Usual) behaviors?</t>
      </text>
    </comment>
    <comment authorId="0" ref="I2">
      <text>
        <t xml:space="preserve">======
ID#AAABhmBOpoU
    (2025-04-08 18:00:18)
The AUTOMATION lens examines capabilities and offloading tasks to automation solutions to drive consistency, speed, and scalability across your target group.</t>
      </text>
    </comment>
    <comment authorId="0" ref="C2">
      <text>
        <t xml:space="preserve">======
ID#AAABhmBOofM
    (2025-04-08 18:00:18)
Which capability are you assessing?</t>
      </text>
    </comment>
    <comment authorId="0" ref="M2">
      <text>
        <t xml:space="preserve">======
ID#AAABhmBOoe8
    (2025-04-08 18:00:18)
The ADOPTION lens looks at how widely has the target group accepted this capability as part of its essential operations. Is this capability part of the target group's BAU (Business As Usual) behaviors?</t>
      </text>
    </comment>
    <comment authorId="0" ref="N3">
      <text>
        <t xml:space="preserve">======
ID#AAABhmBOoe0
    (2025-04-08 18:00:18)
Note here why you selected that score. Examples of evidence would be past successes, gaps, and future ambitions.</t>
      </text>
    </comment>
    <comment authorId="0" ref="N2">
      <text>
        <t xml:space="preserve">======
ID#AAABhmBOoew
    (2025-04-08 18:00:18)
The AUTOMATION lens examines capabilities and offloading tasks to automation solutions to drive consistency, speed, and scalability across your target group.</t>
      </text>
    </comment>
    <comment authorId="0" ref="J2">
      <text>
        <t xml:space="preserve">======
ID#AAABhmBOoes
    (2025-04-08 18:00:18)
The KNOWLEDGE lens considers the capability's breadth of understanding and awareness across the target group. How widely is this concept, its mechanisms, terms, and processes known?</t>
      </text>
    </comment>
    <comment authorId="0" ref="J3">
      <text>
        <t xml:space="preserve">======
ID#AAABhmBOoeo
    (2025-04-08 18:00:18)
Note here why you selected that score. Examples of evidence would be past successes, gaps, and future ambitions.
I selected this score because...</t>
      </text>
    </comment>
    <comment authorId="0" ref="J1">
      <text>
        <t xml:space="preserve">======
ID#AAABhmBOoek
    (2025-04-08 18:00:18)
This is the score you currently give yourself. 
We use the concept of a Lens to talk about how you inspect and analyze a FinOps Practice. These lenses are essentially different functional inspection views through which to consider any given Framework Capability, each requiring different effort, and evidence to support.</t>
      </text>
    </comment>
    <comment authorId="0" ref="G2">
      <text>
        <t xml:space="preserve">======
ID#AAABhmBOoeg
    (2025-04-08 18:00:18)
The METRICS lens indicates how measurement are defined &amp; used for each capability. Is there a way to measure and prove progress over time? How are those measurements obtained, and how relevant are they? Note that this lens does not evaluate how high any specific metric is to benchmark the goal.</t>
      </text>
    </comment>
    <comment authorId="0" ref="L3">
      <text>
        <t xml:space="preserve">======
ID#AAABhmBOoec
    (2025-04-08 18:00:18)
Note here why you selected that score. Examples of evidence would be past successes, gaps, and future ambitions.
I selected this score because...</t>
      </text>
    </comment>
    <comment authorId="0" ref="E1">
      <text>
        <t xml:space="preserve">======
ID#AAABhmBOoeY
    (2025-04-08 18:00:18)
This is the score you are aiming for, not the score you currently have.
We use the concept of a Lens to talk about how you inspect and analyze a FinOps Practice. These lenses are essentially different functional inspection views through which to consider any given Framework Capability, each requiring different effort, and evidence to support.</t>
      </text>
    </comment>
    <comment authorId="0" ref="K3">
      <text>
        <t xml:space="preserve">======
ID#AAABhmBOoeU
    (2025-04-08 18:00:18)
Note here why you selected that score. Examples of evidence would be past successes, gaps, and future ambitions.
I selected this score because...</t>
      </text>
    </comment>
  </commentList>
  <extLst>
    <ext uri="GoogleSheetsCustomDataVersion2">
      <go:sheetsCustomData xmlns:go="http://customooxmlschemas.google.com/" r:id="rId1" roundtripDataSignature="AMtx7mgaIE8c2BLg5DTlxZzw0nN6KDo2CQ=="/>
    </ext>
  </extLst>
</comments>
</file>

<file path=xl/sharedStrings.xml><?xml version="1.0" encoding="utf-8"?>
<sst xmlns="http://schemas.openxmlformats.org/spreadsheetml/2006/main" count="432" uniqueCount="179">
  <si>
    <t>@</t>
  </si>
  <si>
    <t>PLEASE DOWNLOAD A LOCAL COPY</t>
  </si>
  <si>
    <t xml:space="preserve">Please do not edit this shared file. </t>
  </si>
  <si>
    <t>Welcome to the FinOps Foundation's FinOps assessment tool</t>
  </si>
  <si>
    <t>Review this Assessment Guide before you start</t>
  </si>
  <si>
    <r>
      <rPr>
        <rFont val="IBM Plex Sans"/>
        <color rgb="FF1155CC"/>
        <sz val="10.0"/>
        <u/>
      </rPr>
      <t>https://www.finops.org/wg/finops-assessment/</t>
    </r>
    <r>
      <rPr>
        <rFont val="IBM Plex Sans"/>
        <color rgb="FF000000"/>
        <sz val="10.0"/>
      </rPr>
      <t xml:space="preserve"> </t>
    </r>
  </si>
  <si>
    <t>Refer to these "lenses" when taking the assessment</t>
  </si>
  <si>
    <t>KNOWLEDGE</t>
  </si>
  <si>
    <t>Maturity</t>
  </si>
  <si>
    <t>Heading</t>
  </si>
  <si>
    <t>Description</t>
  </si>
  <si>
    <t>No Knowledge</t>
  </si>
  <si>
    <t>At this level, knowledge of the capability as defined by the framework is effectively non-existent within the target group. There are no discussions happening about this capability, and nobody is actively involved in developing any further knowledge.</t>
  </si>
  <si>
    <t>Partial Knowledge</t>
  </si>
  <si>
    <t>Preliminary knowledge of the Capability being assessed is now beginning to spread amongst key stakeholders and individuals, but the capability is not yet common knowledge across the target group.</t>
  </si>
  <si>
    <t>Developing Knowledge</t>
  </si>
  <si>
    <t>La connaissance de base de la capacité est comprise par un nombre limité d’intervenants clés, mais l’information est limitée dans les décaissements non échelonnés.</t>
  </si>
  <si>
    <t>Full Knowledge</t>
  </si>
  <si>
    <t>Strong knowledge of the assessed capability is known throughout the target group, incorporated with starter onboarding and periodic reinforcement via training or other appropriate communication methods.</t>
  </si>
  <si>
    <t>Knowledge Leader</t>
  </si>
  <si>
    <t>The target group is now driving awareness of this capability beyond itself to other peer groups and the wider industry. Leveraging deep awareness across individuals in the group, working to improve awareness and build new insights into the capability.</t>
  </si>
  <si>
    <t>PROCESS</t>
  </si>
  <si>
    <t>No Process</t>
  </si>
  <si>
    <t>There are no described, consistent processes in place governing any aspect of the assessed capability within the target group.</t>
  </si>
  <si>
    <t>Implementing Process</t>
  </si>
  <si>
    <t>Des processus visant à normaliser cette capacité évaluée sont en cours d’élaboration, de définition et éventuellement de test. Les processus ne sont pas encore formalisés en tant que BAU pour le groupe cible.</t>
  </si>
  <si>
    <t>Developing POC Process</t>
  </si>
  <si>
    <t>Des processus pertinents et fonctionnels sont maintenant en place, convenus et suivis par au moins une partie des équipes.</t>
  </si>
  <si>
    <t>Scaled Process</t>
  </si>
  <si>
    <t>Des processus évolutifs sont maintenant en place, documentés et vous avez mis en place des boucles de rétroaction périodiques.</t>
  </si>
  <si>
    <t>Mature (Agile) Process</t>
  </si>
  <si>
    <t>Clearly defined, transparent, and fully integrated processes are now universally established and consistent. This does not necessarily mean there is one process for each task but that processes in place are all in this state. Processes are being iterated on with key stakeholder feedback and ongoing agile refinement.</t>
  </si>
  <si>
    <t>METRICS</t>
  </si>
  <si>
    <t>No Metrics</t>
  </si>
  <si>
    <t>There are no measurements being taken at this point. No direct insight is available concerning the progress or current state of this capability.</t>
  </si>
  <si>
    <t>Identified Metrics</t>
  </si>
  <si>
    <t>Identification des indicateurs clés que l’entreprise juge précieux pour cette capacité à prendre des décisions de compromis.</t>
  </si>
  <si>
    <t>Indicateurs de référence</t>
  </si>
  <si>
    <t>Des mesures initiales, générées manuellement, sont en place, fournissant une mesure rudimentaire de cette capacité à l’aide de feux de signalisation (par exemple : rouge/jaune/vert).</t>
  </si>
  <si>
    <t>Established &amp; collecting Metric Targets data</t>
  </si>
  <si>
    <t>KPIs are now in place covering at least some of this capability within the target group and cadence has been established for collection</t>
  </si>
  <si>
    <t>Mature, Global KPIs</t>
  </si>
  <si>
    <t>S.M.A.R.T. KPIs are now globally in place, automated and refined/iterated on with a regular cadence. Direct links to business goals. Direct link to business performance.</t>
  </si>
  <si>
    <t>ADOPTION</t>
  </si>
  <si>
    <t>No Adoption</t>
  </si>
  <si>
    <t>The capability is not in place anywhere within the target group.</t>
  </si>
  <si>
    <t>Siloed Adoption</t>
  </si>
  <si>
    <t>Des éléments de la capacité sont adoptés par un groupe cloisonné, manquant de normalisation et de meilleures pratiques en matière de données probantes.</t>
  </si>
  <si>
    <t>Adoption initiale normalisée</t>
  </si>
  <si>
    <t>Les premiers éléments de la capacité sont en cours de normalisation et d’approbation par quelques personnes au sein du groupe cible.</t>
  </si>
  <si>
    <t>Key Adoption</t>
  </si>
  <si>
    <t>Fully established standardized elements of the capability as a part majority target groups BAU (Business As Usual) behaviors.</t>
  </si>
  <si>
    <t>Full Adoption</t>
  </si>
  <si>
    <t>The capability now exists in totality across all elements of the target group, and is being actively engaged with and worked on.</t>
  </si>
  <si>
    <t>AUTOMATION</t>
  </si>
  <si>
    <t>No Automation</t>
  </si>
  <si>
    <t>Presque toutes les actions requises au sein de la capacité sont exécutées manuellement à ce stade.</t>
  </si>
  <si>
    <t>Identified Automation Opportunities</t>
  </si>
  <si>
    <t>Commencez à identifier et à cartographier vos besoins en matière d’automatisation pour une solution qui réduira la main-d’œuvre et le temps de travail.</t>
  </si>
  <si>
    <t>Experimental Automation</t>
  </si>
  <si>
    <t>Early adoption of some key actions are beginning to be optimised through automated workflows and solutions.</t>
  </si>
  <si>
    <t>Primary Automation</t>
  </si>
  <si>
    <t>Primary or most demanding actions have now been offloaded to automation solutions.</t>
  </si>
  <si>
    <t>Full Automation</t>
  </si>
  <si>
    <t>All material, repeatable tasks within this capability are now automated, any new tasks are reviewed for automation potential or implemented as automation as the capability evolves.</t>
  </si>
  <si>
    <t>Clear out the data on the Take Assessment sheet after reviewing the samples</t>
  </si>
  <si>
    <t>Date field</t>
  </si>
  <si>
    <t>You can perform the same assessment on the same target group or target scope multiple times on different dates to see trends in your assessment score.</t>
  </si>
  <si>
    <t>Target Group</t>
  </si>
  <si>
    <t>You may use different target groups in each assessment. Make these consistent (for tracking over time) but as specific as you like. For example, the sample is Engineering, but you might say "Project Sunbird Engineering Team"</t>
  </si>
  <si>
    <t>Target Scope</t>
  </si>
  <si>
    <t>Choose your Framework Capabilities to assess.</t>
  </si>
  <si>
    <t>Select Targets</t>
  </si>
  <si>
    <t>Select your Targets first</t>
  </si>
  <si>
    <t xml:space="preserve">Select Current </t>
  </si>
  <si>
    <t>Score your Current maturity</t>
  </si>
  <si>
    <t>Review Scores charted over time</t>
  </si>
  <si>
    <t>mekbeb.mekonen@steampunk.com</t>
  </si>
  <si>
    <t>Step 2: Define target ability scores</t>
  </si>
  <si>
    <t>Step 3: Measure current ability scores</t>
  </si>
  <si>
    <t>Current Score</t>
  </si>
  <si>
    <t>Target Score</t>
  </si>
  <si>
    <t>Total scores of objectives compared to objectives</t>
  </si>
  <si>
    <t>Total ability scores</t>
  </si>
  <si>
    <t>Comments</t>
  </si>
  <si>
    <t>Date</t>
  </si>
  <si>
    <t>Target Capability Scope</t>
  </si>
  <si>
    <t xml:space="preserve">MASQUER LA COLONNE </t>
  </si>
  <si>
    <t>KNOWLEDGE (Target)</t>
  </si>
  <si>
    <t>PROCESS (Target)</t>
  </si>
  <si>
    <t>METRICS (Target)</t>
  </si>
  <si>
    <t>ADOPTION (Target)</t>
  </si>
  <si>
    <t>AUTOMATION (Target)</t>
  </si>
  <si>
    <t>KNOWLEDGE (Current)</t>
  </si>
  <si>
    <t>PROCESS (Current)</t>
  </si>
  <si>
    <t>METRICS (Current)</t>
  </si>
  <si>
    <t>ADOPTION (Current)</t>
  </si>
  <si>
    <t>AUTOMATION (Current)</t>
  </si>
  <si>
    <t>Knowledge Current Score</t>
  </si>
  <si>
    <t>Process Current Score</t>
  </si>
  <si>
    <t>Metrics Current Score</t>
  </si>
  <si>
    <t>Adoption Current Score</t>
  </si>
  <si>
    <t>Automation Current Score</t>
  </si>
  <si>
    <t>Knowledge Target Score</t>
  </si>
  <si>
    <t>Process Target Score</t>
  </si>
  <si>
    <t>Metrics Target Score</t>
  </si>
  <si>
    <t>Adoption Target Score</t>
  </si>
  <si>
    <t>Automation Target Score</t>
  </si>
  <si>
    <t>Knowledge</t>
  </si>
  <si>
    <t>Process</t>
  </si>
  <si>
    <t>Metrics</t>
  </si>
  <si>
    <t>Adoption</t>
  </si>
  <si>
    <t>Automation</t>
  </si>
  <si>
    <t>CURRENT SCORE</t>
  </si>
  <si>
    <t>TARGET SCORE</t>
  </si>
  <si>
    <t>RELATIVE TO TARGET</t>
  </si>
  <si>
    <t>Engineering</t>
  </si>
  <si>
    <t>Architecting for Cloud</t>
  </si>
  <si>
    <t>3 / Full Knowledge</t>
  </si>
  <si>
    <t>2 / Developing POC Process</t>
  </si>
  <si>
    <t>2 / Baselined Metrics</t>
  </si>
  <si>
    <t>2 / Initial Standardized Adoption</t>
  </si>
  <si>
    <t>2 / Experimental Automation</t>
  </si>
  <si>
    <t>2 / Developing Knowledge</t>
  </si>
  <si>
    <t>1 / Identified Automation Opportunities</t>
  </si>
  <si>
    <t>Finance</t>
  </si>
  <si>
    <t>Anomaly Management</t>
  </si>
  <si>
    <t>1 / Partial Knowledge</t>
  </si>
  <si>
    <t>3 / Scaled Process</t>
  </si>
  <si>
    <t>3 / Established &amp; collecting Metric Targets data</t>
  </si>
  <si>
    <t>3 / Key Adoption</t>
  </si>
  <si>
    <t>3 / Primary Automation</t>
  </si>
  <si>
    <t>1 / Implementing Process</t>
  </si>
  <si>
    <t>1 / Identified Metrics</t>
  </si>
  <si>
    <t>1 / Siloed Adoption</t>
  </si>
  <si>
    <t>0 / No Automation</t>
  </si>
  <si>
    <t>Workload Optimization</t>
  </si>
  <si>
    <t>Appro</t>
  </si>
  <si>
    <t>Rate Optimization</t>
  </si>
  <si>
    <t>4 / Full Adoption</t>
  </si>
  <si>
    <t>Budgeting</t>
  </si>
  <si>
    <t>4 / Full Automation</t>
  </si>
  <si>
    <t>0 / No Process</t>
  </si>
  <si>
    <t>0 / No Metrics</t>
  </si>
  <si>
    <t>0 / No Adoption</t>
  </si>
  <si>
    <t>Unit Economics</t>
  </si>
  <si>
    <t>Invoicing &amp; Chargeback</t>
  </si>
  <si>
    <t>Data Ingestion</t>
  </si>
  <si>
    <t>Cloud Policy &amp; Governance</t>
  </si>
  <si>
    <t>FinOps Practice Operations</t>
  </si>
  <si>
    <t>4 / Knowledge Leader</t>
  </si>
  <si>
    <t>Licensing &amp; SaaS</t>
  </si>
  <si>
    <t>Reporting &amp; Analytics</t>
  </si>
  <si>
    <t>Lenses</t>
  </si>
  <si>
    <t>Capability</t>
  </si>
  <si>
    <t>Allocation</t>
  </si>
  <si>
    <t>POC Working Process</t>
  </si>
  <si>
    <t>Baselined Metrics</t>
  </si>
  <si>
    <t>Initial Standardized Adoption</t>
  </si>
  <si>
    <t>Benchmarking</t>
  </si>
  <si>
    <t>Operational Working Process</t>
  </si>
  <si>
    <t>Mature Global KPIs</t>
  </si>
  <si>
    <t>Cloud Sustainability</t>
  </si>
  <si>
    <t>FinOps Assessment</t>
  </si>
  <si>
    <t>FinOps Education &amp; Enablement</t>
  </si>
  <si>
    <t>FinOps Tools &amp; Services</t>
  </si>
  <si>
    <t>Forecasting</t>
  </si>
  <si>
    <t>Intersecting Disciplines</t>
  </si>
  <si>
    <t>Onboarding Workloads</t>
  </si>
  <si>
    <t>Planning &amp; Estimating</t>
  </si>
  <si>
    <t>Trends Over Time</t>
  </si>
  <si>
    <r>
      <rPr>
        <rFont val="Arial"/>
        <color theme="1"/>
        <sz val="10.0"/>
      </rPr>
      <t xml:space="preserve">Step 1: Go to </t>
    </r>
    <r>
      <rPr>
        <rFont val="Arial"/>
        <b/>
        <color theme="1"/>
        <sz val="10.0"/>
      </rPr>
      <t xml:space="preserve">Tab 2: Take Asessment </t>
    </r>
    <r>
      <rPr>
        <rFont val="Arial"/>
        <color theme="1"/>
        <sz val="10.0"/>
      </rPr>
      <t xml:space="preserve">and filter Column B to the Target Group you wish to view. </t>
    </r>
  </si>
  <si>
    <r>
      <rPr>
        <rFont val="Arial"/>
        <color theme="1"/>
        <sz val="10.0"/>
      </rPr>
      <t xml:space="preserve">Step 2: Go to </t>
    </r>
    <r>
      <rPr>
        <rFont val="Arial"/>
        <b/>
        <color theme="1"/>
        <sz val="10.0"/>
      </rPr>
      <t xml:space="preserve">Tab 2: Take Asessment </t>
    </r>
    <r>
      <rPr>
        <rFont val="Arial"/>
        <color theme="1"/>
        <sz val="10.0"/>
      </rPr>
      <t xml:space="preserve">and filter Column C to the Target Capability you wish to view. </t>
    </r>
  </si>
  <si>
    <t>Group:</t>
  </si>
  <si>
    <t>Capability:</t>
  </si>
  <si>
    <t>Capability Scores</t>
  </si>
  <si>
    <t>Lens Scores</t>
  </si>
  <si>
    <t>Line Graphs</t>
  </si>
  <si>
    <t>Bar Graphs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</si>
</sst>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9">
    <font>
      <sz val="10.0"/>
      <color rgb="FF000000"/>
      <name val="Arial"/>
      <scheme val="minor"/>
    </font>
    <font>
      <sz val="10.0"/>
      <color theme="1"/>
      <name val="Arial"/>
    </font>
    <font>
      <sz val="50.0"/>
      <color theme="1"/>
      <name val="Arial"/>
    </font>
    <font>
      <sz val="15.0"/>
      <color rgb="FFFF0000"/>
      <name val="Arial"/>
    </font>
    <font>
      <b/>
      <sz val="14.0"/>
      <color theme="1"/>
      <name val="IBM Plex Sans"/>
    </font>
    <font>
      <color theme="1"/>
      <name val="IBM Plex Sans"/>
    </font>
    <font>
      <b/>
      <sz val="12.0"/>
      <color theme="1"/>
      <name val="IBM Plex Sans"/>
    </font>
    <font>
      <sz val="12.0"/>
      <color theme="1"/>
      <name val="IBM Plex Sans"/>
    </font>
    <font>
      <u/>
      <sz val="10.0"/>
      <color rgb="FF0000FF"/>
      <name val="IBM Plex Sans"/>
    </font>
    <font>
      <b/>
      <sz val="10.0"/>
      <color theme="1"/>
      <name val="IBM Plex Sans"/>
    </font>
    <font>
      <sz val="10.0"/>
      <color theme="1"/>
      <name val="IBM Plex Sans"/>
    </font>
    <font/>
    <font>
      <b/>
      <sz val="10.0"/>
      <color rgb="FF1A202C"/>
      <name val="IBM Plex Sans"/>
    </font>
    <font>
      <sz val="10.0"/>
      <color rgb="FF4D5966"/>
      <name val="IBM Plex Sans"/>
    </font>
    <font>
      <color rgb="FFFFFF00"/>
      <name val="IBM Plex Sans"/>
    </font>
    <font>
      <sz val="10.0"/>
      <color rgb="FF000000"/>
      <name val="IBM Plex Sans"/>
    </font>
    <font>
      <b/>
      <sz val="12.0"/>
      <color theme="1"/>
      <name val="Arial"/>
    </font>
    <font>
      <b/>
      <sz val="10.0"/>
      <color rgb="FF000000"/>
      <name val="Arial"/>
    </font>
    <font>
      <b/>
      <sz val="11.0"/>
      <color rgb="FF000000"/>
      <name val="Arial"/>
    </font>
    <font>
      <sz val="10.0"/>
      <color rgb="FF000000"/>
      <name val="Arial"/>
    </font>
    <font>
      <color theme="1"/>
      <name val="Arial"/>
      <scheme val="minor"/>
    </font>
    <font>
      <b/>
      <sz val="10.0"/>
      <color theme="1"/>
      <name val="Arial"/>
    </font>
    <font>
      <b/>
      <sz val="14.0"/>
      <color rgb="FFFFFFFF"/>
      <name val="Arial"/>
    </font>
    <font>
      <sz val="11.0"/>
      <color theme="1"/>
      <name val="Arial"/>
    </font>
    <font>
      <sz val="10.0"/>
      <color rgb="FF666666"/>
      <name val="Arial"/>
    </font>
    <font>
      <sz val="14.0"/>
      <color theme="0"/>
      <name val="Arial"/>
    </font>
    <font>
      <sz val="11.0"/>
      <color rgb="FF000000"/>
      <name val="Arial"/>
    </font>
    <font>
      <sz val="11.0"/>
      <color rgb="FFFFFFFF"/>
      <name val="Arial"/>
    </font>
    <font>
      <sz val="10.0"/>
      <color rgb="FFFFFFFF"/>
      <name val="Arial"/>
    </font>
  </fonts>
  <fills count="17">
    <fill>
      <patternFill patternType="none"/>
    </fill>
    <fill>
      <patternFill patternType="lightGray"/>
    </fill>
    <fill>
      <patternFill patternType="solid">
        <fgColor rgb="FFABDDC5"/>
        <bgColor rgb="FFABDDC5"/>
      </patternFill>
    </fill>
    <fill>
      <patternFill patternType="solid">
        <fgColor rgb="FFF7FAFC"/>
        <bgColor rgb="FFF7FAFC"/>
      </patternFill>
    </fill>
    <fill>
      <patternFill patternType="solid">
        <fgColor rgb="FFFFF1CC"/>
        <bgColor rgb="FFFFF1CC"/>
      </patternFill>
    </fill>
    <fill>
      <patternFill patternType="solid">
        <fgColor rgb="FFE67C73"/>
        <bgColor rgb="FFE67C73"/>
      </patternFill>
    </fill>
    <fill>
      <patternFill patternType="solid">
        <fgColor rgb="FFF8D8FF"/>
        <bgColor rgb="FFF8D8FF"/>
      </patternFill>
    </fill>
    <fill>
      <patternFill patternType="solid">
        <fgColor rgb="FF00B7D4"/>
        <bgColor rgb="FF00B7D4"/>
      </patternFill>
    </fill>
    <fill>
      <patternFill patternType="solid">
        <fgColor rgb="FFCCF4E9"/>
        <bgColor rgb="FFCCF4E9"/>
      </patternFill>
    </fill>
    <fill>
      <patternFill patternType="solid">
        <fgColor rgb="FF03D5F7"/>
        <bgColor rgb="FF03D5F7"/>
      </patternFill>
    </fill>
    <fill>
      <patternFill patternType="solid">
        <fgColor rgb="FFB7B7B7"/>
        <bgColor rgb="FFB7B7B7"/>
      </patternFill>
    </fill>
    <fill>
      <patternFill patternType="solid">
        <fgColor rgb="FFFFD966"/>
        <bgColor rgb="FFFFD966"/>
      </patternFill>
    </fill>
    <fill>
      <patternFill patternType="solid">
        <fgColor rgb="FFF1C232"/>
        <bgColor rgb="FFF1C232"/>
      </patternFill>
    </fill>
    <fill>
      <patternFill patternType="solid">
        <fgColor rgb="FF00CA8F"/>
        <bgColor rgb="FF00CA8F"/>
      </patternFill>
    </fill>
    <fill>
      <patternFill patternType="solid">
        <fgColor rgb="FF57BB8A"/>
        <bgColor rgb="FF57BB8A"/>
      </patternFill>
    </fill>
    <fill>
      <patternFill patternType="solid">
        <fgColor rgb="FFCCCCCC"/>
        <bgColor rgb="FFCCCCCC"/>
      </patternFill>
    </fill>
    <fill>
      <patternFill patternType="solid">
        <fgColor rgb="FF999999"/>
        <bgColor rgb="FF999999"/>
      </patternFill>
    </fill>
  </fills>
  <borders count="11">
    <border/>
    <border>
      <left/>
      <top/>
      <bottom/>
    </border>
    <border>
      <top/>
      <bottom/>
    </border>
    <border>
      <right/>
      <top/>
      <bottom/>
    </border>
    <border>
      <left/>
      <right/>
      <top/>
      <bottom/>
    </border>
    <border>
      <left style="thin">
        <color rgb="FF000000"/>
      </left>
    </border>
    <border>
      <left style="thin">
        <color rgb="FF000000"/>
      </left>
      <top/>
      <bottom/>
    </border>
    <border>
      <left style="thin">
        <color rgb="FF000000"/>
      </left>
      <right/>
      <top/>
      <bottom/>
    </border>
    <border>
      <left/>
      <right/>
      <top/>
    </border>
    <border>
      <left/>
      <right/>
    </border>
    <border>
      <left/>
      <right/>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xf>
    <xf borderId="0" fillId="0" fontId="1" numFmtId="0" xfId="0" applyFont="1"/>
    <xf borderId="0" fillId="0" fontId="2" numFmtId="0" xfId="0" applyAlignment="1" applyFont="1">
      <alignment horizontal="left" vertical="center"/>
    </xf>
    <xf borderId="0" fillId="0" fontId="1" numFmtId="0" xfId="0" applyAlignment="1" applyFont="1">
      <alignment horizontal="left" vertical="center"/>
    </xf>
    <xf borderId="0" fillId="0" fontId="3" numFmtId="0" xfId="0" applyAlignment="1" applyFont="1">
      <alignment horizontal="left" vertical="center"/>
    </xf>
    <xf borderId="0" fillId="0" fontId="4" numFmtId="0" xfId="0" applyFont="1"/>
    <xf borderId="0" fillId="0" fontId="5" numFmtId="0" xfId="0" applyFont="1"/>
    <xf borderId="0" fillId="0" fontId="4" numFmtId="0" xfId="0" applyAlignment="1" applyFont="1">
      <alignment horizontal="center" readingOrder="0"/>
    </xf>
    <xf borderId="0" fillId="0" fontId="6" numFmtId="0" xfId="0" applyAlignment="1" applyFont="1">
      <alignment horizontal="center"/>
    </xf>
    <xf borderId="0" fillId="0" fontId="6" numFmtId="0" xfId="0" applyFont="1"/>
    <xf borderId="0" fillId="0" fontId="7" numFmtId="0" xfId="0" applyFont="1"/>
    <xf borderId="0" fillId="0" fontId="8" numFmtId="0" xfId="0" applyFont="1"/>
    <xf borderId="0" fillId="0" fontId="9" numFmtId="0" xfId="0" applyAlignment="1" applyFont="1">
      <alignment horizontal="center"/>
    </xf>
    <xf borderId="0" fillId="0" fontId="10" numFmtId="0" xfId="0" applyFont="1"/>
    <xf borderId="0" fillId="0" fontId="10" numFmtId="0" xfId="0" applyAlignment="1" applyFont="1">
      <alignment horizontal="center"/>
    </xf>
    <xf borderId="1" fillId="2" fontId="9" numFmtId="0" xfId="0" applyAlignment="1" applyBorder="1" applyFill="1" applyFont="1">
      <alignment horizontal="center"/>
    </xf>
    <xf borderId="2" fillId="0" fontId="11" numFmtId="0" xfId="0" applyBorder="1" applyFont="1"/>
    <xf borderId="3" fillId="0" fontId="11" numFmtId="0" xfId="0" applyBorder="1" applyFont="1"/>
    <xf borderId="0" fillId="0" fontId="12" numFmtId="0" xfId="0" applyAlignment="1" applyFont="1">
      <alignment horizontal="center"/>
    </xf>
    <xf borderId="4" fillId="3" fontId="13" numFmtId="0" xfId="0" applyAlignment="1" applyBorder="1" applyFill="1" applyFont="1">
      <alignment horizontal="center" vertical="top"/>
    </xf>
    <xf borderId="4" fillId="3" fontId="13" numFmtId="0" xfId="0" applyAlignment="1" applyBorder="1" applyFont="1">
      <alignment horizontal="left" vertical="top"/>
    </xf>
    <xf borderId="0" fillId="0" fontId="13" numFmtId="0" xfId="0" applyAlignment="1" applyFont="1">
      <alignment horizontal="center" vertical="top"/>
    </xf>
    <xf borderId="0" fillId="0" fontId="13" numFmtId="0" xfId="0" applyAlignment="1" applyFont="1">
      <alignment horizontal="left" vertical="top"/>
    </xf>
    <xf borderId="4" fillId="3" fontId="13" numFmtId="0" xfId="0" applyAlignment="1" applyBorder="1" applyFont="1">
      <alignment horizontal="left" readingOrder="0" vertical="top"/>
    </xf>
    <xf borderId="1" fillId="4" fontId="9" numFmtId="0" xfId="0" applyAlignment="1" applyBorder="1" applyFill="1" applyFont="1">
      <alignment horizontal="center"/>
    </xf>
    <xf borderId="0" fillId="0" fontId="13" numFmtId="0" xfId="0" applyAlignment="1" applyFont="1">
      <alignment horizontal="left" readingOrder="0" vertical="top"/>
    </xf>
    <xf borderId="1" fillId="5" fontId="9" numFmtId="0" xfId="0" applyAlignment="1" applyBorder="1" applyFill="1" applyFont="1">
      <alignment horizontal="center"/>
    </xf>
    <xf borderId="1" fillId="6" fontId="9" numFmtId="0" xfId="0" applyAlignment="1" applyBorder="1" applyFill="1" applyFont="1">
      <alignment horizontal="center"/>
    </xf>
    <xf borderId="1" fillId="7" fontId="9" numFmtId="0" xfId="0" applyAlignment="1" applyBorder="1" applyFill="1" applyFont="1">
      <alignment horizontal="center"/>
    </xf>
    <xf borderId="0" fillId="0" fontId="14" numFmtId="0" xfId="0" applyFont="1"/>
    <xf borderId="0" fillId="0" fontId="15" numFmtId="0" xfId="0" applyAlignment="1" applyFont="1">
      <alignment horizontal="center" vertical="top"/>
    </xf>
    <xf borderId="0" fillId="0" fontId="15" numFmtId="0" xfId="0" applyAlignment="1" applyFont="1">
      <alignment horizontal="left" vertical="top"/>
    </xf>
    <xf borderId="0" fillId="0" fontId="15" numFmtId="0" xfId="0" applyAlignment="1" applyFont="1">
      <alignment horizontal="left" readingOrder="0" vertical="top"/>
    </xf>
    <xf borderId="0" fillId="0" fontId="9" numFmtId="0" xfId="0" applyAlignment="1" applyFont="1">
      <alignment readingOrder="0"/>
    </xf>
    <xf borderId="0" fillId="0" fontId="10" numFmtId="0" xfId="0" applyAlignment="1" applyFont="1">
      <alignment readingOrder="0"/>
    </xf>
    <xf borderId="0" fillId="0" fontId="9" numFmtId="0" xfId="0" applyFont="1"/>
    <xf borderId="1" fillId="6" fontId="16" numFmtId="0" xfId="0" applyAlignment="1" applyBorder="1" applyFont="1">
      <alignment horizontal="center" readingOrder="0"/>
    </xf>
    <xf borderId="1" fillId="4" fontId="16" numFmtId="0" xfId="0" applyAlignment="1" applyBorder="1" applyFont="1">
      <alignment horizontal="center" readingOrder="0"/>
    </xf>
    <xf borderId="1" fillId="8" fontId="16" numFmtId="0" xfId="0" applyAlignment="1" applyBorder="1" applyFill="1" applyFont="1">
      <alignment horizontal="center" readingOrder="0"/>
    </xf>
    <xf borderId="5" fillId="0" fontId="17" numFmtId="0" xfId="0" applyAlignment="1" applyBorder="1" applyFont="1">
      <alignment horizontal="center"/>
    </xf>
    <xf borderId="1" fillId="9" fontId="16" numFmtId="0" xfId="0" applyAlignment="1" applyBorder="1" applyFill="1" applyFont="1">
      <alignment horizontal="center" readingOrder="0"/>
    </xf>
    <xf borderId="6" fillId="7" fontId="16" numFmtId="0" xfId="0" applyAlignment="1" applyBorder="1" applyFont="1">
      <alignment horizontal="center" readingOrder="0"/>
    </xf>
    <xf borderId="0" fillId="0" fontId="16" numFmtId="0" xfId="0" applyFont="1"/>
    <xf borderId="4" fillId="10" fontId="18" numFmtId="164" xfId="0" applyAlignment="1" applyBorder="1" applyFill="1" applyFont="1" applyNumberFormat="1">
      <alignment horizontal="left"/>
    </xf>
    <xf borderId="4" fillId="10" fontId="18" numFmtId="0" xfId="0" applyBorder="1" applyFont="1"/>
    <xf borderId="0" fillId="0" fontId="19" numFmtId="0" xfId="0" applyAlignment="1" applyFont="1">
      <alignment readingOrder="0"/>
    </xf>
    <xf borderId="4" fillId="11" fontId="18" numFmtId="0" xfId="0" applyAlignment="1" applyBorder="1" applyFill="1" applyFont="1">
      <alignment horizontal="center"/>
    </xf>
    <xf borderId="4" fillId="12" fontId="18" numFmtId="0" xfId="0" applyAlignment="1" applyBorder="1" applyFill="1" applyFont="1">
      <alignment horizontal="center"/>
    </xf>
    <xf borderId="4" fillId="8" fontId="18" numFmtId="0" xfId="0" applyAlignment="1" applyBorder="1" applyFont="1">
      <alignment horizontal="center"/>
    </xf>
    <xf borderId="4" fillId="13" fontId="18" numFmtId="0" xfId="0" applyAlignment="1" applyBorder="1" applyFill="1" applyFont="1">
      <alignment horizontal="center"/>
    </xf>
    <xf borderId="5" fillId="0" fontId="18" numFmtId="0" xfId="0" applyAlignment="1" applyBorder="1" applyFont="1">
      <alignment horizontal="center"/>
    </xf>
    <xf borderId="0" fillId="0" fontId="18" numFmtId="0" xfId="0" applyAlignment="1" applyFont="1">
      <alignment horizontal="center"/>
    </xf>
    <xf borderId="4" fillId="10" fontId="18" numFmtId="0" xfId="0" applyAlignment="1" applyBorder="1" applyFont="1">
      <alignment horizontal="left"/>
    </xf>
    <xf borderId="7" fillId="10" fontId="18" numFmtId="0" xfId="0" applyAlignment="1" applyBorder="1" applyFont="1">
      <alignment horizontal="center"/>
    </xf>
    <xf borderId="4" fillId="10" fontId="18" numFmtId="0" xfId="0" applyAlignment="1" applyBorder="1" applyFont="1">
      <alignment horizontal="center"/>
    </xf>
    <xf borderId="0" fillId="0" fontId="18" numFmtId="0" xfId="0" applyFont="1"/>
    <xf borderId="0" fillId="0" fontId="1" numFmtId="164" xfId="0" applyAlignment="1" applyFont="1" applyNumberFormat="1">
      <alignment horizontal="left"/>
    </xf>
    <xf borderId="0" fillId="0" fontId="1" numFmtId="0" xfId="0" applyAlignment="1" applyFont="1">
      <alignment horizontal="center" readingOrder="0"/>
    </xf>
    <xf borderId="0" fillId="0" fontId="1" numFmtId="0" xfId="0" applyAlignment="1" applyFont="1">
      <alignment horizontal="center"/>
    </xf>
    <xf borderId="5" fillId="0" fontId="1" numFmtId="0" xfId="0" applyAlignment="1" applyBorder="1" applyFont="1">
      <alignment horizontal="center"/>
    </xf>
    <xf borderId="0" fillId="0" fontId="19" numFmtId="0" xfId="0" applyAlignment="1" applyFont="1">
      <alignment horizontal="center"/>
    </xf>
    <xf borderId="5" fillId="0" fontId="19" numFmtId="0" xfId="0" applyAlignment="1" applyBorder="1" applyFont="1">
      <alignment horizontal="center"/>
    </xf>
    <xf borderId="0" fillId="0" fontId="20" numFmtId="0" xfId="0" applyFont="1"/>
    <xf borderId="0" fillId="0" fontId="20" numFmtId="0" xfId="0" applyAlignment="1" applyFont="1">
      <alignment readingOrder="0"/>
    </xf>
    <xf borderId="0" fillId="0" fontId="21" numFmtId="0" xfId="0" applyAlignment="1" applyFont="1">
      <alignment horizontal="center"/>
    </xf>
    <xf borderId="0" fillId="0" fontId="21" numFmtId="0" xfId="0" applyFont="1"/>
    <xf borderId="1" fillId="14" fontId="22" numFmtId="0" xfId="0" applyAlignment="1" applyBorder="1" applyFill="1" applyFont="1">
      <alignment horizontal="center"/>
    </xf>
    <xf borderId="4" fillId="15" fontId="1" numFmtId="0" xfId="0" applyBorder="1" applyFill="1" applyFont="1"/>
    <xf borderId="4" fillId="15" fontId="21" numFmtId="0" xfId="0" applyBorder="1" applyFont="1"/>
    <xf borderId="4" fillId="15" fontId="23" numFmtId="0" xfId="0" applyAlignment="1" applyBorder="1" applyFont="1">
      <alignment horizontal="right"/>
    </xf>
    <xf borderId="4" fillId="15" fontId="1" numFmtId="0" xfId="0" applyAlignment="1" applyBorder="1" applyFont="1">
      <alignment horizontal="right"/>
    </xf>
    <xf borderId="4" fillId="15" fontId="23" numFmtId="0" xfId="0" applyBorder="1" applyFont="1"/>
    <xf borderId="1" fillId="15" fontId="24" numFmtId="0" xfId="0" applyAlignment="1" applyBorder="1" applyFont="1">
      <alignment horizontal="center"/>
    </xf>
    <xf borderId="4" fillId="15" fontId="24" numFmtId="0" xfId="0" applyAlignment="1" applyBorder="1" applyFont="1">
      <alignment horizontal="center"/>
    </xf>
    <xf borderId="0" fillId="0" fontId="19" numFmtId="0" xfId="0" applyFont="1"/>
    <xf borderId="0" fillId="0" fontId="24" numFmtId="0" xfId="0" applyAlignment="1" applyFont="1">
      <alignment horizontal="center"/>
    </xf>
    <xf borderId="4" fillId="16" fontId="1" numFmtId="0" xfId="0" applyBorder="1" applyFill="1" applyFont="1"/>
    <xf borderId="4" fillId="16" fontId="21" numFmtId="0" xfId="0" applyBorder="1" applyFont="1"/>
    <xf borderId="4" fillId="16" fontId="24" numFmtId="0" xfId="0" applyAlignment="1" applyBorder="1" applyFont="1">
      <alignment horizontal="center"/>
    </xf>
    <xf borderId="4" fillId="16" fontId="25" numFmtId="0" xfId="0" applyAlignment="1" applyBorder="1" applyFont="1">
      <alignment horizontal="right" vertical="center"/>
    </xf>
    <xf borderId="4" fillId="16" fontId="25" numFmtId="0" xfId="0" applyAlignment="1" applyBorder="1" applyFont="1">
      <alignment horizontal="left" vertical="center"/>
    </xf>
    <xf borderId="0" fillId="0" fontId="26" numFmtId="0" xfId="0" applyFont="1"/>
    <xf borderId="1" fillId="16" fontId="27" numFmtId="0" xfId="0" applyAlignment="1" applyBorder="1" applyFont="1">
      <alignment horizontal="center"/>
    </xf>
    <xf borderId="0" fillId="0" fontId="23" numFmtId="0" xfId="0" applyAlignment="1" applyFont="1">
      <alignment horizontal="left"/>
    </xf>
    <xf borderId="8" fillId="16" fontId="28" numFmtId="0" xfId="0" applyAlignment="1" applyBorder="1" applyFont="1">
      <alignment horizontal="center" textRotation="90" vertical="center"/>
    </xf>
    <xf borderId="9" fillId="0" fontId="11" numFmtId="0" xfId="0" applyBorder="1" applyFont="1"/>
    <xf borderId="10" fillId="0" fontId="11"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RELATIVE TO TARGET par rapport à Date</a:t>
            </a:r>
          </a:p>
        </c:rich>
      </c:tx>
      <c:overlay val="0"/>
    </c:title>
    <c:plotArea>
      <c:layout/>
      <c:lineChart>
        <c:varyColors val="0"/>
        <c:ser>
          <c:idx val="0"/>
          <c:order val="0"/>
          <c:tx>
            <c:strRef>
              <c:f>'2. Take Assessment'!$AF$1:$AF$2</c:f>
            </c:strRef>
          </c:tx>
          <c:spPr>
            <a:ln cmpd="sng">
              <a:solidFill>
                <a:srgbClr val="4285F4"/>
              </a:solidFill>
            </a:ln>
          </c:spPr>
          <c:marker>
            <c:symbol val="none"/>
          </c:marker>
          <c:cat>
            <c:strRef>
              <c:f>'2. Take Assessment'!$A$3:$A$16</c:f>
            </c:strRef>
          </c:cat>
          <c:val>
            <c:numRef>
              <c:f>'2. Take Assessment'!$AF$3:$AF$16</c:f>
              <c:numCache/>
            </c:numRef>
          </c:val>
          <c:smooth val="1"/>
        </c:ser>
        <c:axId val="17815503"/>
        <c:axId val="1262849655"/>
      </c:lineChart>
      <c:catAx>
        <c:axId val="178155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262849655"/>
      </c:catAx>
      <c:valAx>
        <c:axId val="12628496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RELATIVE TO TARGET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1550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Capability Score Relative to Targets</a:t>
            </a:r>
          </a:p>
        </c:rich>
      </c:tx>
      <c:overlay val="0"/>
    </c:title>
    <c:plotArea>
      <c:layout/>
      <c:barChart>
        <c:barDir val="col"/>
        <c:ser>
          <c:idx val="0"/>
          <c:order val="0"/>
          <c:tx>
            <c:v>Anomaly Management Forecasting Data Ingestion Budgeting Anomaly Management Forecasting Data Ingestion Budgeting Anomaly Management Forecasting Data Ingestion Budgeting Anomaly Management Forecasting Data Ingestion Budgeting</c:v>
          </c:tx>
          <c:spPr>
            <a:solidFill>
              <a:schemeClr val="accent1"/>
            </a:solidFill>
            <a:ln cmpd="sng">
              <a:solidFill>
                <a:srgbClr val="000000"/>
              </a:solidFill>
            </a:ln>
          </c:spPr>
          <c:cat>
            <c:strRef>
              <c:f>'2. Take Assessment'!$AF$3:$AF$16</c:f>
            </c:strRef>
          </c:cat>
          <c:val>
            <c:numRef>
              <c:f>'2. Take Assessment'!$AF$3:$AF$16</c:f>
              <c:numCache/>
            </c:numRef>
          </c:val>
        </c:ser>
        <c:axId val="1051619958"/>
        <c:axId val="643163387"/>
      </c:barChart>
      <c:catAx>
        <c:axId val="10516199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643163387"/>
      </c:catAx>
      <c:valAx>
        <c:axId val="64316338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051619958"/>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Lens Scores Relative to Targets</a:t>
            </a:r>
          </a:p>
        </c:rich>
      </c:tx>
      <c:overlay val="0"/>
    </c:title>
    <c:plotArea>
      <c:layout/>
      <c:radarChart>
        <c:radarStyle val="marker"/>
        <c:ser>
          <c:idx val="0"/>
          <c:order val="0"/>
          <c:tx>
            <c:v>Knowledge</c:v>
          </c:tx>
          <c:spPr>
            <a:ln cmpd="sng">
              <a:solidFill>
                <a:srgbClr val="4285F4"/>
              </a:solidFill>
            </a:ln>
          </c:spPr>
          <c:marker>
            <c:symbol val="none"/>
          </c:marker>
          <c:cat>
            <c:strRef>
              <c:f>'2. Take Assessment'!$Z$3:$Z$16</c:f>
            </c:strRef>
          </c:cat>
          <c:val>
            <c:numRef>
              <c:f>'2. Take Assessment'!$Y$3:$Y$16</c:f>
              <c:numCache/>
            </c:numRef>
          </c:val>
          <c:smooth val="1"/>
        </c:ser>
        <c:ser>
          <c:idx val="1"/>
          <c:order val="1"/>
          <c:tx>
            <c:v>Process</c:v>
          </c:tx>
          <c:spPr>
            <a:ln cmpd="sng">
              <a:solidFill>
                <a:srgbClr val="EA4335"/>
              </a:solidFill>
            </a:ln>
          </c:spPr>
          <c:marker>
            <c:symbol val="none"/>
          </c:marker>
          <c:cat>
            <c:strRef>
              <c:f>'2. Take Assessment'!$Z$3:$Z$16</c:f>
            </c:strRef>
          </c:cat>
          <c:val>
            <c:numRef>
              <c:f>'2. Take Assessment'!$Z$3:$Z$16</c:f>
              <c:numCache/>
            </c:numRef>
          </c:val>
          <c:smooth val="1"/>
        </c:ser>
        <c:ser>
          <c:idx val="2"/>
          <c:order val="2"/>
          <c:tx>
            <c:v>Metrics</c:v>
          </c:tx>
          <c:spPr>
            <a:ln cmpd="sng">
              <a:solidFill>
                <a:srgbClr val="FBBC04"/>
              </a:solidFill>
            </a:ln>
          </c:spPr>
          <c:marker>
            <c:symbol val="none"/>
          </c:marker>
          <c:cat>
            <c:strRef>
              <c:f>'2. Take Assessment'!$Z$3:$Z$16</c:f>
            </c:strRef>
          </c:cat>
          <c:val>
            <c:numRef>
              <c:f>'2. Take Assessment'!$AA$3:$AA$16</c:f>
              <c:numCache/>
            </c:numRef>
          </c:val>
          <c:smooth val="1"/>
        </c:ser>
        <c:ser>
          <c:idx val="3"/>
          <c:order val="3"/>
          <c:tx>
            <c:v>Adoption</c:v>
          </c:tx>
          <c:spPr>
            <a:ln cmpd="sng">
              <a:solidFill>
                <a:srgbClr val="34A853"/>
              </a:solidFill>
            </a:ln>
          </c:spPr>
          <c:marker>
            <c:symbol val="none"/>
          </c:marker>
          <c:cat>
            <c:strRef>
              <c:f>'2. Take Assessment'!$Z$3:$Z$16</c:f>
            </c:strRef>
          </c:cat>
          <c:val>
            <c:numRef>
              <c:f>'2. Take Assessment'!$AB$3:$AB$16</c:f>
              <c:numCache/>
            </c:numRef>
          </c:val>
          <c:smooth val="1"/>
        </c:ser>
        <c:ser>
          <c:idx val="4"/>
          <c:order val="4"/>
          <c:tx>
            <c:v>Automation</c:v>
          </c:tx>
          <c:spPr>
            <a:ln cmpd="sng">
              <a:solidFill>
                <a:srgbClr val="FF6D01"/>
              </a:solidFill>
            </a:ln>
          </c:spPr>
          <c:marker>
            <c:symbol val="none"/>
          </c:marker>
          <c:cat>
            <c:strRef>
              <c:f>'2. Take Assessment'!$Z$3:$Z$16</c:f>
            </c:strRef>
          </c:cat>
          <c:val>
            <c:numRef>
              <c:f>'2. Take Assessment'!$AC$3:$AC$16</c:f>
              <c:numCache/>
            </c:numRef>
          </c:val>
          <c:smooth val="1"/>
        </c:ser>
        <c:axId val="959205083"/>
        <c:axId val="1869639995"/>
      </c:radarChart>
      <c:catAx>
        <c:axId val="9592050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869639995"/>
      </c:catAx>
      <c:valAx>
        <c:axId val="18696399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959205083"/>
      </c:valAx>
    </c:plotArea>
    <c:legend>
      <c:legendPos val="b"/>
      <c:overlay val="0"/>
      <c:txPr>
        <a:bodyPr/>
        <a:lstStyle/>
        <a:p>
          <a:pPr lvl="0">
            <a:defRPr b="0" i="0" sz="90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Chart3.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133350</xdr:colOff>
      <xdr:row>17</xdr:row>
      <xdr:rowOff>57150</xdr:rowOff>
    </xdr:from>
    <xdr:ext cx="6705600" cy="3733800"/>
    <xdr:graphicFrame>
      <xdr:nvGraphicFramePr>
        <xdr:cNvPr id="6399424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9525</xdr:colOff>
      <xdr:row>38</xdr:row>
      <xdr:rowOff>161925</xdr:rowOff>
    </xdr:from>
    <xdr:ext cx="4838700" cy="4505325"/>
    <xdr:graphicFrame>
      <xdr:nvGraphicFramePr>
        <xdr:cNvPr id="1327972487"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523875</xdr:colOff>
      <xdr:row>17</xdr:row>
      <xdr:rowOff>57150</xdr:rowOff>
    </xdr:from>
    <xdr:ext cx="6772275" cy="3800475"/>
    <xdr:pic>
      <xdr:nvPicPr>
        <xdr:cNvPr id="1792606393"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933450</xdr:colOff>
      <xdr:row>38</xdr:row>
      <xdr:rowOff>161925</xdr:rowOff>
    </xdr:from>
    <xdr:ext cx="6477000" cy="4505325"/>
    <xdr:graphicFrame>
      <xdr:nvGraphicFramePr>
        <xdr:cNvPr id="2050041707"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inops.org/wg/finops-assessmen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c r="B1" s="2" t="s">
        <v>0</v>
      </c>
      <c r="C1" s="3"/>
      <c r="D1" s="3"/>
      <c r="E1" s="3"/>
      <c r="F1" s="3"/>
      <c r="G1" s="3"/>
      <c r="H1" s="3"/>
      <c r="I1" s="3"/>
      <c r="J1" s="3"/>
      <c r="K1" s="3"/>
      <c r="L1" s="3"/>
      <c r="M1" s="3"/>
      <c r="N1" s="3"/>
      <c r="O1" s="3"/>
      <c r="P1" s="3"/>
      <c r="Q1" s="3"/>
      <c r="R1" s="3"/>
      <c r="S1" s="3"/>
      <c r="T1" s="3"/>
      <c r="U1" s="3"/>
      <c r="V1" s="3"/>
      <c r="W1" s="3"/>
      <c r="X1" s="3"/>
      <c r="Y1" s="3"/>
      <c r="Z1" s="3"/>
    </row>
    <row r="2" ht="15.75" customHeight="1">
      <c r="A2" s="3"/>
      <c r="B2" s="3"/>
      <c r="C2" s="3"/>
      <c r="D2" s="3"/>
      <c r="E2" s="3"/>
      <c r="F2" s="3"/>
      <c r="G2" s="3"/>
      <c r="H2" s="3"/>
      <c r="I2" s="3"/>
      <c r="J2" s="3"/>
      <c r="K2" s="3"/>
      <c r="L2" s="3"/>
      <c r="M2" s="3"/>
      <c r="N2" s="3"/>
      <c r="O2" s="3"/>
      <c r="P2" s="3"/>
      <c r="Q2" s="3"/>
      <c r="R2" s="3"/>
      <c r="S2" s="3"/>
      <c r="T2" s="3"/>
      <c r="U2" s="3"/>
      <c r="V2" s="3"/>
      <c r="W2" s="3"/>
      <c r="X2" s="3"/>
      <c r="Y2" s="3"/>
      <c r="Z2" s="3"/>
    </row>
    <row r="3" ht="15.75" customHeight="1">
      <c r="A3" s="3"/>
      <c r="B3" s="3"/>
      <c r="C3" s="3"/>
      <c r="D3" s="3"/>
      <c r="E3" s="3"/>
      <c r="F3" s="3"/>
      <c r="G3" s="3"/>
      <c r="H3" s="3"/>
      <c r="I3" s="3"/>
      <c r="J3" s="3"/>
      <c r="K3" s="3"/>
      <c r="L3" s="3"/>
      <c r="M3" s="3"/>
      <c r="N3" s="3"/>
      <c r="O3" s="3"/>
      <c r="P3" s="3"/>
      <c r="Q3" s="3"/>
      <c r="R3" s="3"/>
      <c r="S3" s="3"/>
      <c r="T3" s="3"/>
      <c r="U3" s="3"/>
      <c r="V3" s="3"/>
      <c r="W3" s="3"/>
      <c r="X3" s="3"/>
      <c r="Y3" s="3"/>
      <c r="Z3" s="3"/>
    </row>
    <row r="4" ht="15.75" customHeight="1">
      <c r="A4" s="3"/>
      <c r="B4" s="3"/>
      <c r="C4" s="3"/>
      <c r="D4" s="3"/>
      <c r="E4" s="3"/>
      <c r="F4" s="3"/>
      <c r="G4" s="3"/>
      <c r="H4" s="3"/>
      <c r="I4" s="3"/>
      <c r="J4" s="3"/>
      <c r="K4" s="3"/>
      <c r="L4" s="3"/>
      <c r="M4" s="3"/>
      <c r="N4" s="3"/>
      <c r="O4" s="3"/>
      <c r="P4" s="3"/>
      <c r="Q4" s="3"/>
      <c r="R4" s="3"/>
      <c r="S4" s="3"/>
      <c r="T4" s="3"/>
      <c r="U4" s="3"/>
      <c r="V4" s="3"/>
      <c r="W4" s="3"/>
      <c r="X4" s="3"/>
      <c r="Y4" s="3"/>
      <c r="Z4" s="3"/>
    </row>
    <row r="5" ht="15.75" customHeight="1">
      <c r="A5" s="3"/>
      <c r="B5" s="3"/>
      <c r="C5" s="3"/>
      <c r="D5" s="3"/>
      <c r="E5" s="3"/>
      <c r="F5" s="3"/>
      <c r="G5" s="3"/>
      <c r="H5" s="3"/>
      <c r="I5" s="3"/>
      <c r="J5" s="3"/>
      <c r="K5" s="3"/>
      <c r="L5" s="3"/>
      <c r="M5" s="3"/>
      <c r="N5" s="3"/>
      <c r="O5" s="3"/>
      <c r="P5" s="3"/>
      <c r="Q5" s="3"/>
      <c r="R5" s="3"/>
      <c r="S5" s="3"/>
      <c r="T5" s="3"/>
      <c r="U5" s="3"/>
      <c r="V5" s="3"/>
      <c r="W5" s="3"/>
      <c r="X5" s="3"/>
      <c r="Y5" s="3"/>
      <c r="Z5" s="3"/>
    </row>
    <row r="6" ht="81.0" customHeight="1">
      <c r="A6" s="4" t="s">
        <v>1</v>
      </c>
      <c r="B6" s="5"/>
      <c r="C6" s="5"/>
      <c r="D6" s="5"/>
      <c r="E6" s="5"/>
      <c r="F6" s="5"/>
      <c r="G6" s="5"/>
      <c r="H6" s="5"/>
      <c r="I6" s="5"/>
      <c r="J6" s="5"/>
      <c r="K6" s="5"/>
      <c r="L6" s="5"/>
      <c r="M6" s="5"/>
      <c r="N6" s="5"/>
      <c r="O6" s="5"/>
      <c r="P6" s="5"/>
      <c r="Q6" s="5"/>
      <c r="R6" s="5"/>
      <c r="S6" s="5"/>
      <c r="T6" s="5"/>
      <c r="U6" s="5"/>
      <c r="V6" s="5"/>
      <c r="W6" s="5"/>
      <c r="X6" s="5"/>
      <c r="Y6" s="5"/>
      <c r="Z6" s="5"/>
    </row>
    <row r="7" ht="36.75" customHeight="1">
      <c r="A7" s="6" t="s">
        <v>2</v>
      </c>
      <c r="B7" s="5"/>
      <c r="C7" s="5"/>
      <c r="D7" s="5"/>
      <c r="E7" s="5"/>
      <c r="F7" s="5"/>
      <c r="G7" s="5"/>
      <c r="H7" s="5"/>
      <c r="I7" s="5"/>
      <c r="J7" s="5"/>
      <c r="K7" s="5"/>
      <c r="L7" s="5"/>
      <c r="M7" s="5"/>
      <c r="N7" s="5"/>
      <c r="O7" s="5"/>
      <c r="P7" s="5"/>
      <c r="Q7" s="5"/>
      <c r="R7" s="5"/>
      <c r="S7" s="5"/>
      <c r="T7" s="5"/>
      <c r="U7" s="5"/>
      <c r="V7" s="5"/>
      <c r="W7" s="5"/>
      <c r="X7" s="5"/>
      <c r="Y7" s="5"/>
      <c r="Z7" s="5"/>
    </row>
    <row r="8" ht="15.75" customHeight="1">
      <c r="A8" s="3"/>
      <c r="B8" s="3"/>
      <c r="C8" s="2"/>
      <c r="D8" s="3"/>
      <c r="E8" s="3"/>
      <c r="F8" s="3"/>
      <c r="G8" s="3"/>
      <c r="H8" s="3"/>
      <c r="I8" s="3"/>
      <c r="J8" s="3"/>
      <c r="K8" s="3"/>
      <c r="L8" s="3"/>
      <c r="M8" s="3"/>
      <c r="N8" s="3"/>
      <c r="O8" s="3"/>
      <c r="P8" s="3"/>
      <c r="Q8" s="3"/>
      <c r="R8" s="3"/>
      <c r="S8" s="3"/>
      <c r="T8" s="3"/>
      <c r="U8" s="3"/>
      <c r="V8" s="3"/>
      <c r="W8" s="3"/>
      <c r="X8" s="3"/>
      <c r="Y8" s="3"/>
      <c r="Z8" s="3"/>
    </row>
    <row r="9" ht="15.75" customHeight="1">
      <c r="A9" s="3"/>
      <c r="B9" s="3"/>
      <c r="C9" s="3"/>
      <c r="D9" s="3"/>
      <c r="E9" s="3"/>
      <c r="F9" s="3"/>
      <c r="G9" s="3"/>
      <c r="H9" s="3"/>
      <c r="I9" s="3"/>
      <c r="J9" s="3"/>
      <c r="K9" s="3"/>
      <c r="L9" s="3"/>
      <c r="M9" s="3"/>
      <c r="N9" s="3"/>
      <c r="O9" s="3"/>
      <c r="P9" s="3"/>
      <c r="Q9" s="3"/>
      <c r="R9" s="3"/>
      <c r="S9" s="3"/>
      <c r="T9" s="3"/>
      <c r="U9" s="3"/>
      <c r="V9" s="3"/>
      <c r="W9" s="3"/>
      <c r="X9" s="3"/>
      <c r="Y9" s="3"/>
      <c r="Z9" s="3"/>
    </row>
    <row r="10"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6.38"/>
    <col customWidth="1" min="2" max="2" width="14.63"/>
    <col customWidth="1" min="3" max="3" width="35.25"/>
    <col customWidth="1" min="4" max="4" width="89.88"/>
    <col customWidth="1" min="5" max="6" width="12.63"/>
  </cols>
  <sheetData>
    <row r="1" ht="15.75" customHeight="1">
      <c r="G1" s="7"/>
      <c r="H1" s="7"/>
      <c r="I1" s="7"/>
      <c r="J1" s="7"/>
      <c r="K1" s="7"/>
      <c r="L1" s="7"/>
      <c r="M1" s="7"/>
      <c r="N1" s="7"/>
      <c r="O1" s="7"/>
      <c r="P1" s="7"/>
      <c r="Q1" s="7"/>
      <c r="R1" s="7"/>
      <c r="S1" s="7"/>
      <c r="T1" s="7"/>
      <c r="U1" s="7"/>
      <c r="V1" s="7"/>
      <c r="W1" s="7"/>
      <c r="X1" s="7"/>
      <c r="Y1" s="7"/>
      <c r="Z1" s="7"/>
    </row>
    <row r="2" ht="15.75" customHeight="1">
      <c r="A2" s="8"/>
      <c r="B2" s="9" t="s">
        <v>3</v>
      </c>
      <c r="H2" s="8"/>
      <c r="I2" s="8"/>
      <c r="J2" s="8"/>
      <c r="K2" s="8"/>
      <c r="L2" s="8"/>
      <c r="M2" s="8"/>
      <c r="N2" s="8"/>
      <c r="O2" s="8"/>
      <c r="P2" s="8"/>
      <c r="Q2" s="8"/>
      <c r="R2" s="8"/>
      <c r="S2" s="8"/>
      <c r="T2" s="8"/>
      <c r="U2" s="8"/>
      <c r="V2" s="8"/>
      <c r="W2" s="8"/>
      <c r="X2" s="8"/>
      <c r="Y2" s="8"/>
      <c r="Z2" s="8"/>
    </row>
    <row r="3" ht="15.75" customHeight="1">
      <c r="A3" s="8"/>
      <c r="B3" s="8"/>
      <c r="C3" s="8"/>
      <c r="D3" s="8"/>
      <c r="E3" s="8"/>
      <c r="F3" s="8"/>
      <c r="G3" s="8"/>
      <c r="H3" s="8"/>
      <c r="I3" s="8"/>
      <c r="J3" s="8"/>
      <c r="K3" s="8"/>
      <c r="L3" s="8"/>
      <c r="M3" s="8"/>
      <c r="N3" s="8"/>
      <c r="O3" s="8"/>
      <c r="P3" s="8"/>
      <c r="Q3" s="8"/>
      <c r="R3" s="8"/>
      <c r="S3" s="8"/>
      <c r="T3" s="8"/>
      <c r="U3" s="8"/>
      <c r="V3" s="8"/>
      <c r="W3" s="8"/>
      <c r="X3" s="8"/>
      <c r="Y3" s="8"/>
      <c r="Z3" s="8"/>
    </row>
    <row r="4" ht="15.75" customHeight="1">
      <c r="A4" s="10">
        <v>1.0</v>
      </c>
      <c r="B4" s="11" t="s">
        <v>4</v>
      </c>
      <c r="C4" s="12"/>
      <c r="D4" s="12"/>
      <c r="E4" s="12"/>
      <c r="F4" s="12"/>
      <c r="G4" s="12"/>
      <c r="H4" s="12"/>
      <c r="I4" s="12"/>
      <c r="J4" s="12"/>
      <c r="K4" s="12"/>
      <c r="L4" s="12"/>
      <c r="M4" s="12"/>
      <c r="N4" s="12"/>
      <c r="O4" s="12"/>
      <c r="P4" s="12"/>
      <c r="Q4" s="12"/>
      <c r="R4" s="12"/>
      <c r="S4" s="12"/>
      <c r="T4" s="12"/>
      <c r="U4" s="12"/>
      <c r="V4" s="12"/>
      <c r="W4" s="12"/>
      <c r="X4" s="12"/>
      <c r="Y4" s="12"/>
      <c r="Z4" s="12"/>
    </row>
    <row r="5" ht="15.75" customHeight="1">
      <c r="A5" s="8"/>
      <c r="B5" s="13" t="s">
        <v>5</v>
      </c>
      <c r="C5" s="8"/>
      <c r="D5" s="8"/>
      <c r="E5" s="8"/>
      <c r="F5" s="8"/>
      <c r="G5" s="8"/>
      <c r="H5" s="8"/>
      <c r="I5" s="8"/>
      <c r="J5" s="8"/>
      <c r="K5" s="8"/>
      <c r="L5" s="8"/>
      <c r="M5" s="8"/>
      <c r="N5" s="8"/>
      <c r="O5" s="8"/>
      <c r="P5" s="8"/>
      <c r="Q5" s="8"/>
      <c r="R5" s="8"/>
      <c r="S5" s="8"/>
      <c r="T5" s="8"/>
      <c r="U5" s="8"/>
      <c r="V5" s="8"/>
      <c r="W5" s="8"/>
      <c r="X5" s="8"/>
      <c r="Y5" s="8"/>
      <c r="Z5" s="8"/>
    </row>
    <row r="6" ht="15.75" customHeight="1">
      <c r="A6" s="8"/>
      <c r="B6" s="8"/>
      <c r="C6" s="8"/>
      <c r="D6" s="8"/>
      <c r="E6" s="8"/>
      <c r="F6" s="8"/>
      <c r="G6" s="8"/>
      <c r="H6" s="8"/>
      <c r="I6" s="8"/>
      <c r="J6" s="8"/>
      <c r="K6" s="8"/>
      <c r="L6" s="8"/>
      <c r="M6" s="8"/>
      <c r="N6" s="8"/>
      <c r="O6" s="8"/>
      <c r="P6" s="8"/>
      <c r="Q6" s="8"/>
      <c r="R6" s="8"/>
      <c r="S6" s="8"/>
      <c r="T6" s="8"/>
      <c r="U6" s="8"/>
      <c r="V6" s="8"/>
      <c r="W6" s="8"/>
      <c r="X6" s="8"/>
      <c r="Y6" s="8"/>
      <c r="Z6" s="8"/>
    </row>
    <row r="7" ht="15.75" customHeight="1">
      <c r="A7" s="14"/>
      <c r="B7" s="15"/>
      <c r="C7" s="8"/>
      <c r="D7" s="8"/>
      <c r="E7" s="8"/>
      <c r="F7" s="8"/>
      <c r="G7" s="8"/>
      <c r="H7" s="8"/>
      <c r="I7" s="8"/>
      <c r="J7" s="8"/>
      <c r="K7" s="8"/>
      <c r="L7" s="8"/>
      <c r="M7" s="8"/>
      <c r="N7" s="8"/>
      <c r="O7" s="8"/>
      <c r="P7" s="8"/>
      <c r="Q7" s="8"/>
      <c r="R7" s="8"/>
      <c r="S7" s="8"/>
      <c r="T7" s="8"/>
      <c r="U7" s="8"/>
      <c r="V7" s="8"/>
      <c r="W7" s="8"/>
      <c r="X7" s="8"/>
      <c r="Y7" s="8"/>
      <c r="Z7" s="8"/>
    </row>
    <row r="8" ht="15.75" customHeight="1">
      <c r="A8" s="10">
        <v>2.0</v>
      </c>
      <c r="B8" s="11" t="s">
        <v>6</v>
      </c>
      <c r="C8" s="12"/>
      <c r="D8" s="11"/>
      <c r="E8" s="12"/>
      <c r="F8" s="12"/>
      <c r="G8" s="12"/>
      <c r="H8" s="12"/>
      <c r="I8" s="12"/>
      <c r="J8" s="12"/>
      <c r="K8" s="12"/>
      <c r="L8" s="12"/>
      <c r="M8" s="12"/>
      <c r="N8" s="12"/>
      <c r="O8" s="12"/>
      <c r="P8" s="12"/>
      <c r="Q8" s="12"/>
      <c r="R8" s="12"/>
      <c r="S8" s="12"/>
      <c r="T8" s="12"/>
      <c r="U8" s="12"/>
      <c r="V8" s="12"/>
      <c r="W8" s="12"/>
      <c r="X8" s="12"/>
      <c r="Y8" s="12"/>
      <c r="Z8" s="12"/>
    </row>
    <row r="9" ht="15.75" customHeight="1">
      <c r="A9" s="8"/>
      <c r="B9" s="16"/>
      <c r="C9" s="16"/>
      <c r="D9" s="16"/>
      <c r="E9" s="8"/>
      <c r="F9" s="8"/>
      <c r="G9" s="8"/>
      <c r="H9" s="8"/>
      <c r="I9" s="8"/>
      <c r="J9" s="8"/>
      <c r="K9" s="8"/>
      <c r="L9" s="8"/>
      <c r="M9" s="8"/>
      <c r="N9" s="8"/>
      <c r="O9" s="8"/>
      <c r="P9" s="8"/>
      <c r="Q9" s="8"/>
      <c r="R9" s="8"/>
      <c r="S9" s="8"/>
      <c r="T9" s="8"/>
      <c r="U9" s="8"/>
      <c r="V9" s="8"/>
      <c r="W9" s="8"/>
      <c r="X9" s="8"/>
      <c r="Y9" s="8"/>
      <c r="Z9" s="8"/>
    </row>
    <row r="10" ht="15.75" customHeight="1">
      <c r="A10" s="8"/>
      <c r="B10" s="17" t="s">
        <v>7</v>
      </c>
      <c r="C10" s="18"/>
      <c r="D10" s="19"/>
      <c r="E10" s="8"/>
      <c r="F10" s="8"/>
      <c r="G10" s="8"/>
      <c r="H10" s="8"/>
      <c r="I10" s="8"/>
      <c r="J10" s="8"/>
      <c r="K10" s="8"/>
      <c r="L10" s="8"/>
      <c r="M10" s="8"/>
      <c r="N10" s="8"/>
      <c r="O10" s="8"/>
      <c r="P10" s="8"/>
      <c r="Q10" s="8"/>
      <c r="R10" s="8"/>
      <c r="S10" s="8"/>
      <c r="T10" s="8"/>
      <c r="U10" s="8"/>
      <c r="V10" s="8"/>
      <c r="W10" s="8"/>
      <c r="X10" s="8"/>
      <c r="Y10" s="8"/>
      <c r="Z10" s="8"/>
    </row>
    <row r="11" ht="15.75" customHeight="1">
      <c r="A11" s="8"/>
      <c r="B11" s="20" t="s">
        <v>8</v>
      </c>
      <c r="C11" s="20" t="s">
        <v>9</v>
      </c>
      <c r="D11" s="20" t="s">
        <v>10</v>
      </c>
      <c r="E11" s="8"/>
      <c r="F11" s="8"/>
      <c r="G11" s="8"/>
      <c r="H11" s="8"/>
      <c r="I11" s="8"/>
      <c r="J11" s="8"/>
      <c r="K11" s="8"/>
      <c r="L11" s="8"/>
      <c r="M11" s="8"/>
      <c r="N11" s="8"/>
      <c r="O11" s="8"/>
      <c r="P11" s="8"/>
      <c r="Q11" s="8"/>
      <c r="R11" s="8"/>
      <c r="S11" s="8"/>
      <c r="T11" s="8"/>
      <c r="U11" s="8"/>
      <c r="V11" s="8"/>
      <c r="W11" s="8"/>
      <c r="X11" s="8"/>
      <c r="Y11" s="8"/>
      <c r="Z11" s="8"/>
    </row>
    <row r="12" ht="15.75" customHeight="1">
      <c r="A12" s="8"/>
      <c r="B12" s="21">
        <v>0.0</v>
      </c>
      <c r="C12" s="22" t="s">
        <v>11</v>
      </c>
      <c r="D12" s="22" t="s">
        <v>12</v>
      </c>
      <c r="E12" s="8"/>
      <c r="F12" s="8"/>
      <c r="G12" s="8"/>
      <c r="H12" s="8"/>
      <c r="I12" s="8"/>
      <c r="J12" s="8"/>
      <c r="K12" s="8"/>
      <c r="L12" s="8"/>
      <c r="M12" s="8"/>
      <c r="N12" s="8"/>
      <c r="O12" s="8"/>
      <c r="P12" s="8"/>
      <c r="Q12" s="8"/>
      <c r="R12" s="8"/>
      <c r="S12" s="8"/>
      <c r="T12" s="8"/>
      <c r="U12" s="8"/>
      <c r="V12" s="8"/>
      <c r="W12" s="8"/>
      <c r="X12" s="8"/>
      <c r="Y12" s="8"/>
      <c r="Z12" s="8"/>
    </row>
    <row r="13" ht="15.75" customHeight="1">
      <c r="A13" s="8"/>
      <c r="B13" s="23">
        <v>1.0</v>
      </c>
      <c r="C13" s="24" t="s">
        <v>13</v>
      </c>
      <c r="D13" s="24" t="s">
        <v>14</v>
      </c>
      <c r="E13" s="8"/>
      <c r="F13" s="8"/>
      <c r="G13" s="8"/>
      <c r="H13" s="8"/>
      <c r="I13" s="8"/>
      <c r="J13" s="8"/>
      <c r="K13" s="8"/>
      <c r="L13" s="8"/>
      <c r="M13" s="8"/>
      <c r="N13" s="8"/>
      <c r="O13" s="8"/>
      <c r="P13" s="8"/>
      <c r="Q13" s="8"/>
      <c r="R13" s="8"/>
      <c r="S13" s="8"/>
      <c r="T13" s="8"/>
      <c r="U13" s="8"/>
      <c r="V13" s="8"/>
      <c r="W13" s="8"/>
      <c r="X13" s="8"/>
      <c r="Y13" s="8"/>
      <c r="Z13" s="8"/>
    </row>
    <row r="14" ht="15.75" customHeight="1">
      <c r="A14" s="8"/>
      <c r="B14" s="21">
        <v>2.0</v>
      </c>
      <c r="C14" s="22" t="s">
        <v>15</v>
      </c>
      <c r="D14" s="25" t="s">
        <v>16</v>
      </c>
      <c r="E14" s="8"/>
      <c r="F14" s="8"/>
      <c r="G14" s="8"/>
      <c r="H14" s="8"/>
      <c r="I14" s="8"/>
      <c r="J14" s="8"/>
      <c r="K14" s="8"/>
      <c r="L14" s="8"/>
      <c r="M14" s="8"/>
      <c r="N14" s="8"/>
      <c r="O14" s="8"/>
      <c r="P14" s="8"/>
      <c r="Q14" s="8"/>
      <c r="R14" s="8"/>
      <c r="S14" s="8"/>
      <c r="T14" s="8"/>
      <c r="U14" s="8"/>
      <c r="V14" s="8"/>
      <c r="W14" s="8"/>
      <c r="X14" s="8"/>
      <c r="Y14" s="8"/>
      <c r="Z14" s="8"/>
    </row>
    <row r="15" ht="15.75" customHeight="1">
      <c r="A15" s="8"/>
      <c r="B15" s="23">
        <v>3.0</v>
      </c>
      <c r="C15" s="24" t="s">
        <v>17</v>
      </c>
      <c r="D15" s="24" t="s">
        <v>18</v>
      </c>
      <c r="E15" s="8"/>
      <c r="F15" s="8"/>
      <c r="G15" s="8"/>
      <c r="H15" s="8"/>
      <c r="I15" s="8"/>
      <c r="J15" s="8"/>
      <c r="K15" s="8"/>
      <c r="L15" s="8"/>
      <c r="M15" s="8"/>
      <c r="N15" s="8"/>
      <c r="O15" s="8"/>
      <c r="P15" s="8"/>
      <c r="Q15" s="8"/>
      <c r="R15" s="8"/>
      <c r="S15" s="8"/>
      <c r="T15" s="8"/>
      <c r="U15" s="8"/>
      <c r="V15" s="8"/>
      <c r="W15" s="8"/>
      <c r="X15" s="8"/>
      <c r="Y15" s="8"/>
      <c r="Z15" s="8"/>
    </row>
    <row r="16" ht="15.75" customHeight="1">
      <c r="A16" s="8"/>
      <c r="B16" s="21">
        <v>4.0</v>
      </c>
      <c r="C16" s="22" t="s">
        <v>19</v>
      </c>
      <c r="D16" s="22" t="s">
        <v>20</v>
      </c>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26" t="s">
        <v>21</v>
      </c>
      <c r="C18" s="18"/>
      <c r="D18" s="19"/>
      <c r="E18" s="8"/>
      <c r="F18" s="8"/>
      <c r="G18" s="8"/>
      <c r="H18" s="8"/>
      <c r="I18" s="8"/>
      <c r="J18" s="8"/>
      <c r="K18" s="8"/>
      <c r="L18" s="8"/>
      <c r="M18" s="8"/>
      <c r="N18" s="8"/>
      <c r="O18" s="8"/>
      <c r="P18" s="8"/>
      <c r="Q18" s="8"/>
      <c r="R18" s="8"/>
      <c r="S18" s="8"/>
      <c r="T18" s="8"/>
      <c r="U18" s="8"/>
      <c r="V18" s="8"/>
      <c r="W18" s="8"/>
      <c r="X18" s="8"/>
      <c r="Y18" s="8"/>
      <c r="Z18" s="8"/>
    </row>
    <row r="19" ht="15.75" customHeight="1">
      <c r="A19" s="8"/>
      <c r="B19" s="20" t="s">
        <v>8</v>
      </c>
      <c r="C19" s="20" t="s">
        <v>9</v>
      </c>
      <c r="D19" s="20" t="s">
        <v>10</v>
      </c>
      <c r="E19" s="8"/>
      <c r="F19" s="8"/>
      <c r="G19" s="8"/>
      <c r="H19" s="8"/>
      <c r="I19" s="8"/>
      <c r="J19" s="8"/>
      <c r="K19" s="8"/>
      <c r="L19" s="8"/>
      <c r="M19" s="8"/>
      <c r="N19" s="8"/>
      <c r="O19" s="8"/>
      <c r="P19" s="8"/>
      <c r="Q19" s="8"/>
      <c r="R19" s="8"/>
      <c r="S19" s="8"/>
      <c r="T19" s="8"/>
      <c r="U19" s="8"/>
      <c r="V19" s="8"/>
      <c r="W19" s="8"/>
      <c r="X19" s="8"/>
      <c r="Y19" s="8"/>
      <c r="Z19" s="8"/>
    </row>
    <row r="20" ht="15.75" customHeight="1">
      <c r="A20" s="8"/>
      <c r="B20" s="21">
        <v>0.0</v>
      </c>
      <c r="C20" s="22" t="s">
        <v>22</v>
      </c>
      <c r="D20" s="22" t="s">
        <v>23</v>
      </c>
      <c r="E20" s="8"/>
      <c r="F20" s="8"/>
      <c r="G20" s="8"/>
      <c r="H20" s="8"/>
      <c r="I20" s="8"/>
      <c r="J20" s="8"/>
      <c r="K20" s="8"/>
      <c r="L20" s="8"/>
      <c r="M20" s="8"/>
      <c r="N20" s="8"/>
      <c r="O20" s="8"/>
      <c r="P20" s="8"/>
      <c r="Q20" s="8"/>
      <c r="R20" s="8"/>
      <c r="S20" s="8"/>
      <c r="T20" s="8"/>
      <c r="U20" s="8"/>
      <c r="V20" s="8"/>
      <c r="W20" s="8"/>
      <c r="X20" s="8"/>
      <c r="Y20" s="8"/>
      <c r="Z20" s="8"/>
    </row>
    <row r="21" ht="15.75" customHeight="1">
      <c r="A21" s="8"/>
      <c r="B21" s="23">
        <v>1.0</v>
      </c>
      <c r="C21" s="24" t="s">
        <v>24</v>
      </c>
      <c r="D21" s="27" t="s">
        <v>25</v>
      </c>
      <c r="E21" s="8"/>
      <c r="F21" s="8"/>
      <c r="G21" s="8"/>
      <c r="H21" s="8"/>
      <c r="I21" s="8"/>
      <c r="J21" s="8"/>
      <c r="K21" s="8"/>
      <c r="L21" s="8"/>
      <c r="M21" s="8"/>
      <c r="N21" s="8"/>
      <c r="O21" s="8"/>
      <c r="P21" s="8"/>
      <c r="Q21" s="8"/>
      <c r="R21" s="8"/>
      <c r="S21" s="8"/>
      <c r="T21" s="8"/>
      <c r="U21" s="8"/>
      <c r="V21" s="8"/>
      <c r="W21" s="8"/>
      <c r="X21" s="8"/>
      <c r="Y21" s="8"/>
      <c r="Z21" s="8"/>
    </row>
    <row r="22" ht="15.75" customHeight="1">
      <c r="A22" s="8"/>
      <c r="B22" s="21">
        <v>2.0</v>
      </c>
      <c r="C22" s="22" t="s">
        <v>26</v>
      </c>
      <c r="D22" s="25" t="s">
        <v>27</v>
      </c>
      <c r="E22" s="8"/>
      <c r="F22" s="8"/>
      <c r="G22" s="8"/>
      <c r="H22" s="8"/>
      <c r="I22" s="8"/>
      <c r="J22" s="8"/>
      <c r="K22" s="8"/>
      <c r="L22" s="8"/>
      <c r="M22" s="8"/>
      <c r="N22" s="8"/>
      <c r="O22" s="8"/>
      <c r="P22" s="8"/>
      <c r="Q22" s="8"/>
      <c r="R22" s="8"/>
      <c r="S22" s="8"/>
      <c r="T22" s="8"/>
      <c r="U22" s="8"/>
      <c r="V22" s="8"/>
      <c r="W22" s="8"/>
      <c r="X22" s="8"/>
      <c r="Y22" s="8"/>
      <c r="Z22" s="8"/>
    </row>
    <row r="23" ht="15.75" customHeight="1">
      <c r="A23" s="8"/>
      <c r="B23" s="23">
        <v>3.0</v>
      </c>
      <c r="C23" s="24" t="s">
        <v>28</v>
      </c>
      <c r="D23" s="27" t="s">
        <v>29</v>
      </c>
      <c r="E23" s="8"/>
      <c r="F23" s="8"/>
      <c r="G23" s="8"/>
      <c r="H23" s="8"/>
      <c r="I23" s="8"/>
      <c r="J23" s="8"/>
      <c r="K23" s="8"/>
      <c r="L23" s="8"/>
      <c r="M23" s="8"/>
      <c r="N23" s="8"/>
      <c r="O23" s="8"/>
      <c r="P23" s="8"/>
      <c r="Q23" s="8"/>
      <c r="R23" s="8"/>
      <c r="S23" s="8"/>
      <c r="T23" s="8"/>
      <c r="U23" s="8"/>
      <c r="V23" s="8"/>
      <c r="W23" s="8"/>
      <c r="X23" s="8"/>
      <c r="Y23" s="8"/>
      <c r="Z23" s="8"/>
    </row>
    <row r="24" ht="15.75" customHeight="1">
      <c r="A24" s="8"/>
      <c r="B24" s="21">
        <v>4.0</v>
      </c>
      <c r="C24" s="22" t="s">
        <v>30</v>
      </c>
      <c r="D24" s="22" t="s">
        <v>31</v>
      </c>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28" t="s">
        <v>32</v>
      </c>
      <c r="C26" s="18"/>
      <c r="D26" s="19"/>
      <c r="E26" s="8"/>
      <c r="F26" s="8"/>
      <c r="G26" s="8"/>
      <c r="H26" s="8"/>
      <c r="I26" s="8"/>
      <c r="J26" s="8"/>
      <c r="K26" s="8"/>
      <c r="L26" s="8"/>
      <c r="M26" s="8"/>
      <c r="N26" s="8"/>
      <c r="O26" s="8"/>
      <c r="P26" s="8"/>
      <c r="Q26" s="8"/>
      <c r="R26" s="8"/>
      <c r="S26" s="8"/>
      <c r="T26" s="8"/>
      <c r="U26" s="8"/>
      <c r="V26" s="8"/>
      <c r="W26" s="8"/>
      <c r="X26" s="8"/>
      <c r="Y26" s="8"/>
      <c r="Z26" s="8"/>
    </row>
    <row r="27" ht="15.75" customHeight="1">
      <c r="A27" s="8"/>
      <c r="B27" s="20" t="s">
        <v>8</v>
      </c>
      <c r="C27" s="20" t="s">
        <v>9</v>
      </c>
      <c r="D27" s="20" t="s">
        <v>10</v>
      </c>
      <c r="E27" s="8"/>
      <c r="F27" s="8"/>
      <c r="G27" s="8"/>
      <c r="H27" s="8"/>
      <c r="I27" s="8"/>
      <c r="J27" s="8"/>
      <c r="K27" s="8"/>
      <c r="L27" s="8"/>
      <c r="M27" s="8"/>
      <c r="N27" s="8"/>
      <c r="O27" s="8"/>
      <c r="P27" s="8"/>
      <c r="Q27" s="8"/>
      <c r="R27" s="8"/>
      <c r="S27" s="8"/>
      <c r="T27" s="8"/>
      <c r="U27" s="8"/>
      <c r="V27" s="8"/>
      <c r="W27" s="8"/>
      <c r="X27" s="8"/>
      <c r="Y27" s="8"/>
      <c r="Z27" s="8"/>
    </row>
    <row r="28" ht="15.75" customHeight="1">
      <c r="A28" s="8"/>
      <c r="B28" s="21">
        <v>0.0</v>
      </c>
      <c r="C28" s="22" t="s">
        <v>33</v>
      </c>
      <c r="D28" s="22" t="s">
        <v>34</v>
      </c>
      <c r="E28" s="8"/>
      <c r="F28" s="8"/>
      <c r="G28" s="8"/>
      <c r="H28" s="8"/>
      <c r="I28" s="8"/>
      <c r="J28" s="8"/>
      <c r="K28" s="8"/>
      <c r="L28" s="8"/>
      <c r="M28" s="8"/>
      <c r="N28" s="8"/>
      <c r="O28" s="8"/>
      <c r="P28" s="8"/>
      <c r="Q28" s="8"/>
      <c r="R28" s="8"/>
      <c r="S28" s="8"/>
      <c r="T28" s="8"/>
      <c r="U28" s="8"/>
      <c r="V28" s="8"/>
      <c r="W28" s="8"/>
      <c r="X28" s="8"/>
      <c r="Y28" s="8"/>
      <c r="Z28" s="8"/>
    </row>
    <row r="29" ht="15.75" customHeight="1">
      <c r="A29" s="8"/>
      <c r="B29" s="23">
        <v>1.0</v>
      </c>
      <c r="C29" s="24" t="s">
        <v>35</v>
      </c>
      <c r="D29" s="27" t="s">
        <v>36</v>
      </c>
      <c r="E29" s="8"/>
      <c r="F29" s="8"/>
      <c r="G29" s="8"/>
      <c r="H29" s="8"/>
      <c r="I29" s="8"/>
      <c r="J29" s="8"/>
      <c r="K29" s="8"/>
      <c r="L29" s="8"/>
      <c r="M29" s="8"/>
      <c r="N29" s="8"/>
      <c r="O29" s="8"/>
      <c r="P29" s="8"/>
      <c r="Q29" s="8"/>
      <c r="R29" s="8"/>
      <c r="S29" s="8"/>
      <c r="T29" s="8"/>
      <c r="U29" s="8"/>
      <c r="V29" s="8"/>
      <c r="W29" s="8"/>
      <c r="X29" s="8"/>
      <c r="Y29" s="8"/>
      <c r="Z29" s="8"/>
    </row>
    <row r="30" ht="15.75" customHeight="1">
      <c r="A30" s="8"/>
      <c r="B30" s="21">
        <v>2.0</v>
      </c>
      <c r="C30" s="25" t="s">
        <v>37</v>
      </c>
      <c r="D30" s="25" t="s">
        <v>38</v>
      </c>
      <c r="E30" s="8"/>
      <c r="F30" s="8"/>
      <c r="G30" s="8"/>
      <c r="H30" s="8"/>
      <c r="I30" s="8"/>
      <c r="J30" s="8"/>
      <c r="K30" s="8"/>
      <c r="L30" s="8"/>
      <c r="M30" s="8"/>
      <c r="N30" s="8"/>
      <c r="O30" s="8"/>
      <c r="P30" s="8"/>
      <c r="Q30" s="8"/>
      <c r="R30" s="8"/>
      <c r="S30" s="8"/>
      <c r="T30" s="8"/>
      <c r="U30" s="8"/>
      <c r="V30" s="8"/>
      <c r="W30" s="8"/>
      <c r="X30" s="8"/>
      <c r="Y30" s="8"/>
      <c r="Z30" s="8"/>
    </row>
    <row r="31" ht="15.75" customHeight="1">
      <c r="A31" s="8"/>
      <c r="B31" s="23">
        <v>3.0</v>
      </c>
      <c r="C31" s="24" t="s">
        <v>39</v>
      </c>
      <c r="D31" s="24" t="s">
        <v>40</v>
      </c>
      <c r="E31" s="8"/>
      <c r="F31" s="8"/>
      <c r="G31" s="8"/>
      <c r="H31" s="8"/>
      <c r="I31" s="8"/>
      <c r="J31" s="8"/>
      <c r="K31" s="8"/>
      <c r="L31" s="8"/>
      <c r="M31" s="8"/>
      <c r="N31" s="8"/>
      <c r="O31" s="8"/>
      <c r="P31" s="8"/>
      <c r="Q31" s="8"/>
      <c r="R31" s="8"/>
      <c r="S31" s="8"/>
      <c r="T31" s="8"/>
      <c r="U31" s="8"/>
      <c r="V31" s="8"/>
      <c r="W31" s="8"/>
      <c r="X31" s="8"/>
      <c r="Y31" s="8"/>
      <c r="Z31" s="8"/>
    </row>
    <row r="32" ht="15.75" customHeight="1">
      <c r="A32" s="8"/>
      <c r="B32" s="21">
        <v>4.0</v>
      </c>
      <c r="C32" s="22" t="s">
        <v>41</v>
      </c>
      <c r="D32" s="22" t="s">
        <v>42</v>
      </c>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29" t="s">
        <v>43</v>
      </c>
      <c r="C34" s="18"/>
      <c r="D34" s="19"/>
      <c r="E34" s="8"/>
      <c r="F34" s="8"/>
      <c r="G34" s="8"/>
      <c r="H34" s="8"/>
      <c r="I34" s="8"/>
      <c r="J34" s="8"/>
      <c r="K34" s="8"/>
      <c r="L34" s="8"/>
      <c r="M34" s="8"/>
      <c r="N34" s="8"/>
      <c r="O34" s="8"/>
      <c r="P34" s="8"/>
      <c r="Q34" s="8"/>
      <c r="R34" s="8"/>
      <c r="S34" s="8"/>
      <c r="T34" s="8"/>
      <c r="U34" s="8"/>
      <c r="V34" s="8"/>
      <c r="W34" s="8"/>
      <c r="X34" s="8"/>
      <c r="Y34" s="8"/>
      <c r="Z34" s="8"/>
    </row>
    <row r="35" ht="15.75" customHeight="1">
      <c r="A35" s="8"/>
      <c r="B35" s="20" t="s">
        <v>8</v>
      </c>
      <c r="C35" s="20" t="s">
        <v>9</v>
      </c>
      <c r="D35" s="20" t="s">
        <v>10</v>
      </c>
      <c r="E35" s="8"/>
      <c r="F35" s="8"/>
      <c r="G35" s="8"/>
      <c r="H35" s="8"/>
      <c r="I35" s="8"/>
      <c r="J35" s="8"/>
      <c r="K35" s="8"/>
      <c r="L35" s="8"/>
      <c r="M35" s="8"/>
      <c r="N35" s="8"/>
      <c r="O35" s="8"/>
      <c r="P35" s="8"/>
      <c r="Q35" s="8"/>
      <c r="R35" s="8"/>
      <c r="S35" s="8"/>
      <c r="T35" s="8"/>
      <c r="U35" s="8"/>
      <c r="V35" s="8"/>
      <c r="W35" s="8"/>
      <c r="X35" s="8"/>
      <c r="Y35" s="8"/>
      <c r="Z35" s="8"/>
    </row>
    <row r="36" ht="15.75" customHeight="1">
      <c r="A36" s="8"/>
      <c r="B36" s="21">
        <v>0.0</v>
      </c>
      <c r="C36" s="22" t="s">
        <v>44</v>
      </c>
      <c r="D36" s="22" t="s">
        <v>45</v>
      </c>
      <c r="E36" s="8"/>
      <c r="F36" s="8"/>
      <c r="G36" s="8"/>
      <c r="H36" s="8"/>
      <c r="I36" s="8"/>
      <c r="J36" s="8"/>
      <c r="K36" s="8"/>
      <c r="L36" s="8"/>
      <c r="M36" s="8"/>
      <c r="N36" s="8"/>
      <c r="O36" s="8"/>
      <c r="P36" s="8"/>
      <c r="Q36" s="8"/>
      <c r="R36" s="8"/>
      <c r="S36" s="8"/>
      <c r="T36" s="8"/>
      <c r="U36" s="8"/>
      <c r="V36" s="8"/>
      <c r="W36" s="8"/>
      <c r="X36" s="8"/>
      <c r="Y36" s="8"/>
      <c r="Z36" s="8"/>
    </row>
    <row r="37" ht="15.75" customHeight="1">
      <c r="A37" s="8"/>
      <c r="B37" s="23">
        <v>1.0</v>
      </c>
      <c r="C37" s="24" t="s">
        <v>46</v>
      </c>
      <c r="D37" s="27" t="s">
        <v>47</v>
      </c>
      <c r="E37" s="8"/>
      <c r="F37" s="8"/>
      <c r="G37" s="8"/>
      <c r="H37" s="8"/>
      <c r="I37" s="8"/>
      <c r="J37" s="8"/>
      <c r="K37" s="8"/>
      <c r="L37" s="8"/>
      <c r="M37" s="8"/>
      <c r="N37" s="8"/>
      <c r="O37" s="8"/>
      <c r="P37" s="8"/>
      <c r="Q37" s="8"/>
      <c r="R37" s="8"/>
      <c r="S37" s="8"/>
      <c r="T37" s="8"/>
      <c r="U37" s="8"/>
      <c r="V37" s="8"/>
      <c r="W37" s="8"/>
      <c r="X37" s="8"/>
      <c r="Y37" s="8"/>
      <c r="Z37" s="8"/>
    </row>
    <row r="38" ht="15.75" customHeight="1">
      <c r="A38" s="8"/>
      <c r="B38" s="21">
        <v>2.0</v>
      </c>
      <c r="C38" s="25" t="s">
        <v>48</v>
      </c>
      <c r="D38" s="25" t="s">
        <v>49</v>
      </c>
      <c r="E38" s="8"/>
      <c r="F38" s="8"/>
      <c r="G38" s="8"/>
      <c r="H38" s="8"/>
      <c r="I38" s="8"/>
      <c r="J38" s="8"/>
      <c r="K38" s="8"/>
      <c r="L38" s="8"/>
      <c r="M38" s="8"/>
      <c r="N38" s="8"/>
      <c r="O38" s="8"/>
      <c r="P38" s="8"/>
      <c r="Q38" s="8"/>
      <c r="R38" s="8"/>
      <c r="S38" s="8"/>
      <c r="T38" s="8"/>
      <c r="U38" s="8"/>
      <c r="V38" s="8"/>
      <c r="W38" s="8"/>
      <c r="X38" s="8"/>
      <c r="Y38" s="8"/>
      <c r="Z38" s="8"/>
    </row>
    <row r="39" ht="15.75" customHeight="1">
      <c r="A39" s="8"/>
      <c r="B39" s="23">
        <v>3.0</v>
      </c>
      <c r="C39" s="24" t="s">
        <v>50</v>
      </c>
      <c r="D39" s="24" t="s">
        <v>51</v>
      </c>
      <c r="E39" s="8"/>
      <c r="F39" s="8"/>
      <c r="G39" s="8"/>
      <c r="H39" s="8"/>
      <c r="I39" s="8"/>
      <c r="J39" s="8"/>
      <c r="K39" s="8"/>
      <c r="L39" s="8"/>
      <c r="M39" s="8"/>
      <c r="N39" s="8"/>
      <c r="O39" s="8"/>
      <c r="P39" s="8"/>
      <c r="Q39" s="8"/>
      <c r="R39" s="8"/>
      <c r="S39" s="8"/>
      <c r="T39" s="8"/>
      <c r="U39" s="8"/>
      <c r="V39" s="8"/>
      <c r="W39" s="8"/>
      <c r="X39" s="8"/>
      <c r="Y39" s="8"/>
      <c r="Z39" s="8"/>
    </row>
    <row r="40" ht="15.75" customHeight="1">
      <c r="A40" s="8"/>
      <c r="B40" s="21">
        <v>4.0</v>
      </c>
      <c r="C40" s="22" t="s">
        <v>52</v>
      </c>
      <c r="D40" s="22" t="s">
        <v>53</v>
      </c>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30" t="s">
        <v>54</v>
      </c>
      <c r="C42" s="18"/>
      <c r="D42" s="19"/>
      <c r="E42" s="8"/>
      <c r="F42" s="8"/>
      <c r="G42" s="8"/>
      <c r="H42" s="8"/>
      <c r="I42" s="8"/>
      <c r="J42" s="8"/>
      <c r="K42" s="8"/>
      <c r="L42" s="8"/>
      <c r="M42" s="8"/>
      <c r="N42" s="8"/>
      <c r="O42" s="8"/>
      <c r="P42" s="8"/>
      <c r="Q42" s="8"/>
      <c r="R42" s="8"/>
      <c r="S42" s="8"/>
      <c r="T42" s="8"/>
      <c r="U42" s="8"/>
      <c r="V42" s="8"/>
      <c r="W42" s="8"/>
      <c r="X42" s="8"/>
      <c r="Y42" s="8"/>
      <c r="Z42" s="8"/>
    </row>
    <row r="43" ht="15.75" customHeight="1">
      <c r="A43" s="8"/>
      <c r="B43" s="20" t="s">
        <v>8</v>
      </c>
      <c r="C43" s="20" t="s">
        <v>9</v>
      </c>
      <c r="D43" s="20" t="s">
        <v>10</v>
      </c>
      <c r="E43" s="8"/>
      <c r="F43" s="8"/>
      <c r="G43" s="8"/>
      <c r="H43" s="8"/>
      <c r="I43" s="8"/>
      <c r="J43" s="8"/>
      <c r="K43" s="8"/>
      <c r="L43" s="8"/>
      <c r="M43" s="8"/>
      <c r="N43" s="8"/>
      <c r="O43" s="8"/>
      <c r="P43" s="8"/>
      <c r="Q43" s="8"/>
      <c r="R43" s="8"/>
      <c r="S43" s="8"/>
      <c r="T43" s="8"/>
      <c r="U43" s="8"/>
      <c r="V43" s="8"/>
      <c r="W43" s="8"/>
      <c r="X43" s="8"/>
      <c r="Y43" s="8"/>
      <c r="Z43" s="8"/>
    </row>
    <row r="44" ht="15.75" customHeight="1">
      <c r="A44" s="8"/>
      <c r="B44" s="21">
        <v>0.0</v>
      </c>
      <c r="C44" s="22" t="s">
        <v>55</v>
      </c>
      <c r="D44" s="25" t="s">
        <v>56</v>
      </c>
      <c r="E44" s="8"/>
      <c r="F44" s="8"/>
      <c r="G44" s="8"/>
      <c r="H44" s="8"/>
      <c r="I44" s="8"/>
      <c r="J44" s="8"/>
      <c r="K44" s="8"/>
      <c r="L44" s="8"/>
      <c r="M44" s="8"/>
      <c r="N44" s="8"/>
      <c r="O44" s="8"/>
      <c r="P44" s="8"/>
      <c r="Q44" s="8"/>
      <c r="R44" s="8"/>
      <c r="S44" s="8"/>
      <c r="T44" s="8"/>
      <c r="U44" s="8"/>
      <c r="V44" s="8"/>
      <c r="W44" s="8"/>
      <c r="X44" s="8"/>
      <c r="Y44" s="8"/>
      <c r="Z44" s="8"/>
    </row>
    <row r="45" ht="15.75" customHeight="1">
      <c r="A45" s="31"/>
      <c r="B45" s="32">
        <v>1.0</v>
      </c>
      <c r="C45" s="33" t="s">
        <v>57</v>
      </c>
      <c r="D45" s="34" t="s">
        <v>58</v>
      </c>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8"/>
      <c r="B46" s="21">
        <v>2.0</v>
      </c>
      <c r="C46" s="22" t="s">
        <v>59</v>
      </c>
      <c r="D46" s="22" t="s">
        <v>60</v>
      </c>
      <c r="E46" s="8"/>
      <c r="F46" s="8"/>
      <c r="G46" s="8"/>
      <c r="H46" s="8"/>
      <c r="I46" s="8"/>
      <c r="J46" s="8"/>
      <c r="K46" s="8"/>
      <c r="L46" s="8"/>
      <c r="M46" s="8"/>
      <c r="N46" s="8"/>
      <c r="O46" s="8"/>
      <c r="P46" s="8"/>
      <c r="Q46" s="8"/>
      <c r="R46" s="8"/>
      <c r="S46" s="8"/>
      <c r="T46" s="8"/>
      <c r="U46" s="8"/>
      <c r="V46" s="8"/>
      <c r="W46" s="8"/>
      <c r="X46" s="8"/>
      <c r="Y46" s="8"/>
      <c r="Z46" s="8"/>
    </row>
    <row r="47" ht="15.75" customHeight="1">
      <c r="A47" s="8"/>
      <c r="B47" s="23">
        <v>3.0</v>
      </c>
      <c r="C47" s="24" t="s">
        <v>61</v>
      </c>
      <c r="D47" s="24" t="s">
        <v>62</v>
      </c>
      <c r="E47" s="8"/>
      <c r="F47" s="8"/>
      <c r="G47" s="8"/>
      <c r="H47" s="8"/>
      <c r="I47" s="8"/>
      <c r="J47" s="8"/>
      <c r="K47" s="8"/>
      <c r="L47" s="8"/>
      <c r="M47" s="8"/>
      <c r="N47" s="8"/>
      <c r="O47" s="8"/>
      <c r="P47" s="8"/>
      <c r="Q47" s="8"/>
      <c r="R47" s="8"/>
      <c r="S47" s="8"/>
      <c r="T47" s="8"/>
      <c r="U47" s="8"/>
      <c r="V47" s="8"/>
      <c r="W47" s="8"/>
      <c r="X47" s="8"/>
      <c r="Y47" s="8"/>
      <c r="Z47" s="8"/>
    </row>
    <row r="48" ht="15.75" customHeight="1">
      <c r="A48" s="8"/>
      <c r="B48" s="21">
        <v>4.0</v>
      </c>
      <c r="C48" s="22" t="s">
        <v>63</v>
      </c>
      <c r="D48" s="22" t="s">
        <v>64</v>
      </c>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10">
        <v>3.0</v>
      </c>
      <c r="B50" s="11" t="s">
        <v>65</v>
      </c>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35" t="s">
        <v>66</v>
      </c>
      <c r="C51" s="36" t="s">
        <v>67</v>
      </c>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37" t="s">
        <v>68</v>
      </c>
      <c r="C52" s="15" t="s">
        <v>69</v>
      </c>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37" t="s">
        <v>70</v>
      </c>
      <c r="C53" s="15" t="s">
        <v>71</v>
      </c>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37" t="s">
        <v>72</v>
      </c>
      <c r="C54" s="15" t="s">
        <v>73</v>
      </c>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37" t="s">
        <v>74</v>
      </c>
      <c r="C55" s="15" t="s">
        <v>75</v>
      </c>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10">
        <v>4.0</v>
      </c>
      <c r="B57" s="11" t="s">
        <v>76</v>
      </c>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6">
    <mergeCell ref="B2:G2"/>
    <mergeCell ref="B10:D10"/>
    <mergeCell ref="B18:D18"/>
    <mergeCell ref="B26:D26"/>
    <mergeCell ref="B34:D34"/>
    <mergeCell ref="B42:D42"/>
  </mergeCells>
  <hyperlinks>
    <hyperlink r:id="rId1" ref="B5"/>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topLeftCell="E1" activePane="topRight" state="frozen"/>
      <selection activeCell="F2" sqref="F2" pane="topRight"/>
    </sheetView>
  </sheetViews>
  <sheetFormatPr customHeight="1" defaultColWidth="12.63" defaultRowHeight="15.0"/>
  <cols>
    <col customWidth="1" min="1" max="1" width="9.63"/>
    <col customWidth="1" min="2" max="2" width="14.63"/>
    <col customWidth="1" min="3" max="3" width="30.0"/>
    <col customWidth="1" min="4" max="4" width="0.38"/>
    <col customWidth="1" min="5" max="6" width="25.5"/>
    <col customWidth="1" min="7" max="7" width="35.63"/>
    <col customWidth="1" min="8" max="13" width="25.5"/>
    <col customWidth="1" min="14" max="14" width="31.13"/>
    <col customWidth="1" min="15" max="15" width="8.25"/>
    <col customWidth="1" min="16" max="24" width="7.38"/>
    <col customWidth="1" min="25" max="29" width="12.63"/>
    <col customWidth="1" min="30" max="31" width="20.0"/>
    <col customWidth="1" min="32" max="32" width="27.63"/>
    <col customWidth="1" min="33" max="33" width="50.63"/>
  </cols>
  <sheetData>
    <row r="1" ht="22.5" customHeight="1">
      <c r="A1" s="38" t="s">
        <v>77</v>
      </c>
      <c r="B1" s="18"/>
      <c r="C1" s="18"/>
      <c r="D1" s="19"/>
      <c r="E1" s="39" t="s">
        <v>78</v>
      </c>
      <c r="F1" s="18"/>
      <c r="G1" s="18"/>
      <c r="H1" s="18"/>
      <c r="I1" s="19"/>
      <c r="J1" s="40" t="s">
        <v>79</v>
      </c>
      <c r="K1" s="18"/>
      <c r="L1" s="18"/>
      <c r="M1" s="18"/>
      <c r="N1" s="19"/>
      <c r="O1" s="41" t="s">
        <v>80</v>
      </c>
      <c r="T1" s="41" t="s">
        <v>81</v>
      </c>
      <c r="Y1" s="42" t="s">
        <v>82</v>
      </c>
      <c r="Z1" s="18"/>
      <c r="AA1" s="18"/>
      <c r="AB1" s="18"/>
      <c r="AC1" s="19"/>
      <c r="AD1" s="43" t="s">
        <v>83</v>
      </c>
      <c r="AE1" s="18"/>
      <c r="AF1" s="19"/>
      <c r="AG1" s="44" t="s">
        <v>84</v>
      </c>
    </row>
    <row r="2" ht="24.0" customHeight="1">
      <c r="A2" s="45" t="s">
        <v>85</v>
      </c>
      <c r="B2" s="46" t="s">
        <v>68</v>
      </c>
      <c r="C2" s="46" t="s">
        <v>86</v>
      </c>
      <c r="D2" s="47" t="s">
        <v>87</v>
      </c>
      <c r="E2" s="48" t="s">
        <v>88</v>
      </c>
      <c r="F2" s="49" t="s">
        <v>89</v>
      </c>
      <c r="G2" s="48" t="s">
        <v>90</v>
      </c>
      <c r="H2" s="49" t="s">
        <v>91</v>
      </c>
      <c r="I2" s="48" t="s">
        <v>92</v>
      </c>
      <c r="J2" s="50" t="s">
        <v>93</v>
      </c>
      <c r="K2" s="51" t="s">
        <v>94</v>
      </c>
      <c r="L2" s="50" t="s">
        <v>95</v>
      </c>
      <c r="M2" s="51" t="s">
        <v>96</v>
      </c>
      <c r="N2" s="50" t="s">
        <v>97</v>
      </c>
      <c r="O2" s="52" t="s">
        <v>98</v>
      </c>
      <c r="P2" s="53" t="s">
        <v>99</v>
      </c>
      <c r="Q2" s="53" t="s">
        <v>100</v>
      </c>
      <c r="R2" s="53" t="s">
        <v>101</v>
      </c>
      <c r="S2" s="53" t="s">
        <v>102</v>
      </c>
      <c r="T2" s="52" t="s">
        <v>103</v>
      </c>
      <c r="U2" s="53" t="s">
        <v>104</v>
      </c>
      <c r="V2" s="53" t="s">
        <v>105</v>
      </c>
      <c r="W2" s="53" t="s">
        <v>106</v>
      </c>
      <c r="X2" s="53" t="s">
        <v>107</v>
      </c>
      <c r="Y2" s="54" t="s">
        <v>108</v>
      </c>
      <c r="Z2" s="54" t="s">
        <v>109</v>
      </c>
      <c r="AA2" s="54" t="s">
        <v>110</v>
      </c>
      <c r="AB2" s="54" t="s">
        <v>111</v>
      </c>
      <c r="AC2" s="54" t="s">
        <v>112</v>
      </c>
      <c r="AD2" s="55" t="s">
        <v>113</v>
      </c>
      <c r="AE2" s="56" t="s">
        <v>114</v>
      </c>
      <c r="AF2" s="56" t="s">
        <v>115</v>
      </c>
      <c r="AG2" s="46"/>
      <c r="AH2" s="57"/>
      <c r="AI2" s="57"/>
      <c r="AJ2" s="57"/>
      <c r="AK2" s="57"/>
    </row>
    <row r="3" ht="15.75" customHeight="1">
      <c r="A3" s="58">
        <v>45351.0</v>
      </c>
      <c r="B3" s="3" t="s">
        <v>116</v>
      </c>
      <c r="C3" s="2" t="s">
        <v>117</v>
      </c>
      <c r="D3" s="3"/>
      <c r="E3" s="59" t="s">
        <v>118</v>
      </c>
      <c r="F3" s="59" t="s">
        <v>119</v>
      </c>
      <c r="G3" s="59" t="s">
        <v>120</v>
      </c>
      <c r="H3" s="59" t="s">
        <v>121</v>
      </c>
      <c r="I3" s="59" t="s">
        <v>122</v>
      </c>
      <c r="J3" s="60" t="s">
        <v>123</v>
      </c>
      <c r="K3" s="59" t="s">
        <v>119</v>
      </c>
      <c r="L3" s="59" t="s">
        <v>120</v>
      </c>
      <c r="M3" s="59" t="s">
        <v>121</v>
      </c>
      <c r="N3" s="59" t="s">
        <v>124</v>
      </c>
      <c r="O3" s="61">
        <f t="shared" ref="O3:O22" si="2">IF(J3="0 / No Knowledge",0,IF(J3="1 / Partial Knowledge",1,IF(J3="2 / Developing Knowledge",2,IF(J3="3 / Full Knowledge",3,IF(J3="4 / Knowledge Leader",4,IF(ISBLANK(J3),""))))))</f>
        <v>2</v>
      </c>
      <c r="P3" s="62">
        <f t="shared" ref="P3:P22" si="3">IF(K3="0 / No Process",0,IF(K3="1 / Implementing Process",1,IF(K3="2 / Developing POC Process",2,IF(K3="3 / Scaled Process",3,IF(K3="4 / Mature (Agile) Process",4,IF(ISBLANK(K3),""))))))</f>
        <v>2</v>
      </c>
      <c r="Q3" s="62">
        <f>IF(L3="0 / No Metrics",0,IF(L3="1 / Identified Metrics",1,IF(L3="2 / Baselined Metrics",2,IF(L3="3 / Established &amp; collecting Metric Targets data",3,IF(L3="4 / Mature Global KPIs",4,IF(ISBLANK(L3),""))))))</f>
        <v>2</v>
      </c>
      <c r="R3" s="62">
        <f t="shared" ref="R3:R22" si="4">IF(M3="0 / No Adoption",0,IF(M3="1 / Siloed Adoption",1,IF(M3="2 / Initial Standardized Adoption",2,IF(M3="3 / Key Adoption",3,IF(M3="4 / Full Adoption",4,IF(ISBLANK(M3),""))))))</f>
        <v>2</v>
      </c>
      <c r="S3" s="62">
        <f t="shared" ref="S3:S22" si="5">IF(N3="0 / No Automation",0,IF(N3="1 / Identified Automation Opportunities",1,IF(N3="2 / Experimental Automation",2,IF(N3="3 / Primary Automation",3,IF(N3="4 / Full Automation",4,IF(ISBLANK(N3),""))))))</f>
        <v>1</v>
      </c>
      <c r="T3" s="63">
        <f t="shared" ref="T3:T22" si="6">IF(E3="0 / No Knowledge",0,IF(E3="1 / Partial Knowledge",1,IF(E3="2 / Developing Knowledge",2,IF(E3="3 / Full Knowledge",3,IF(E3="4 / Knowledge Leader",4,IF(ISBLANK(E3),""))))))</f>
        <v>3</v>
      </c>
      <c r="U3" s="62">
        <f t="shared" ref="U3:U22" si="7">IF(F3="0 / No Process",0,IF(F3="1 / Implementing Process",1,IF(F3="2 / Developing POC Process",2,IF(F3="3 / Scaled Process",3,IF(F3="4 / Mature (Agile) Process",4,IF(ISBLANK(F3),""))))))</f>
        <v>2</v>
      </c>
      <c r="V3" s="62">
        <f>IF(G3="0 / No Metrics",0,IF(G3="1 / Identified Metrics",1,IF(G3="2 / Baselined Metrics",2,IF(G3="3 / Established &amp; collecting Metric Targets data",3,IF(G3="4 / Mature Global KPIs",4,IF(ISBLANK(G3),""))))))</f>
        <v>2</v>
      </c>
      <c r="W3" s="62">
        <f t="shared" ref="W3:W22" si="8">IF(H3="0 / No Adoption",0,IF(H3="1 / Siloed Adoption",1,IF(H3="2 / Initial Standardized Adoption",2,IF(H3="3 / Key Adoption",3,IF(H3="4 / Full Adoption",4,IF(ISBLANK(H3),""))))))</f>
        <v>2</v>
      </c>
      <c r="X3" s="62">
        <f t="shared" ref="X3:X22" si="9">IF(I3="0 / No Automation",0,IF(I3="1 / Identified Automation Opportunities",1,IF(I3="2 / Experimental Automation",2,IF(I3="3 / Primary Automation",3,IF(I3="4 / Full Automation",4,IF(ISBLANK(I3),""))))))</f>
        <v>2</v>
      </c>
      <c r="Y3" s="63">
        <f t="shared" ref="Y3:AC3" si="1">O3-T3</f>
        <v>-1</v>
      </c>
      <c r="Z3" s="62">
        <f t="shared" si="1"/>
        <v>0</v>
      </c>
      <c r="AA3" s="62">
        <f t="shared" si="1"/>
        <v>0</v>
      </c>
      <c r="AB3" s="62">
        <f t="shared" si="1"/>
        <v>0</v>
      </c>
      <c r="AC3" s="62">
        <f t="shared" si="1"/>
        <v>-1</v>
      </c>
      <c r="AD3" s="61">
        <f t="shared" ref="AD3:AD22" si="11">SUM(O3:S3)</f>
        <v>9</v>
      </c>
      <c r="AE3" s="60">
        <f t="shared" ref="AE3:AE22" si="12">SUM(T3:X3)</f>
        <v>11</v>
      </c>
      <c r="AF3" s="60">
        <f t="shared" ref="AF3:AF22" si="13">AD3-AE3</f>
        <v>-2</v>
      </c>
      <c r="AG3" s="3"/>
      <c r="AJ3" s="64" t="str">
        <f t="array" ref="AJ3">INDEX(B3:B16,MATCH(1,SUBTOTAL(3,OFFSET(B3,ROW(B3:B16)-MIN(ROW(B3:B16)),0)),0))</f>
        <v>Engineering</v>
      </c>
      <c r="AK3" s="64" t="str">
        <f t="array" ref="AK3">INDEX(C3:C16,MATCH(1,SUBTOTAL(3,OFFSET(C3,ROW(C3:C16)-MIN(ROW(C3:C16)),0)),0))</f>
        <v>Architecting for Cloud</v>
      </c>
    </row>
    <row r="4" ht="15.75" customHeight="1">
      <c r="A4" s="58">
        <v>45351.0</v>
      </c>
      <c r="B4" s="3" t="s">
        <v>125</v>
      </c>
      <c r="C4" s="2" t="s">
        <v>126</v>
      </c>
      <c r="D4" s="3"/>
      <c r="E4" s="59" t="s">
        <v>127</v>
      </c>
      <c r="F4" s="59" t="s">
        <v>128</v>
      </c>
      <c r="G4" s="59" t="s">
        <v>129</v>
      </c>
      <c r="H4" s="59" t="s">
        <v>130</v>
      </c>
      <c r="I4" s="59" t="s">
        <v>131</v>
      </c>
      <c r="J4" s="59" t="s">
        <v>127</v>
      </c>
      <c r="K4" s="59" t="s">
        <v>132</v>
      </c>
      <c r="L4" s="59" t="s">
        <v>133</v>
      </c>
      <c r="M4" s="59" t="s">
        <v>134</v>
      </c>
      <c r="N4" s="59" t="s">
        <v>135</v>
      </c>
      <c r="O4" s="61">
        <f t="shared" si="2"/>
        <v>1</v>
      </c>
      <c r="P4" s="62">
        <f t="shared" si="3"/>
        <v>1</v>
      </c>
      <c r="Q4" s="62">
        <f>IF(L4="0 / No Metrics",0,IF(L4="1 / Identified Metrics",1,IF(L4="2 / Baselined Metrics",2,IF(L4="3 / Established &amp; collecting Metric Targets data",3,IF(L4="4 / Mature, Global KPIs",4,IF(ISBLANK(L4),""))))))</f>
        <v>1</v>
      </c>
      <c r="R4" s="62">
        <f t="shared" si="4"/>
        <v>1</v>
      </c>
      <c r="S4" s="62">
        <f t="shared" si="5"/>
        <v>0</v>
      </c>
      <c r="T4" s="63">
        <f t="shared" si="6"/>
        <v>1</v>
      </c>
      <c r="U4" s="62">
        <f t="shared" si="7"/>
        <v>3</v>
      </c>
      <c r="V4" s="62">
        <f>IF(G4="0 / No Metrics",0,IF(G4="1 / Identified Metrics",1,IF(G4="2 / Baselined Metrics",2,IF(G4="3 / Established &amp; collecting Metric Targets data",3,IF(G4="4 / Mature, Global KPIs",4,IF(ISBLANK(G4),""))))))</f>
        <v>3</v>
      </c>
      <c r="W4" s="62">
        <f t="shared" si="8"/>
        <v>3</v>
      </c>
      <c r="X4" s="62">
        <f t="shared" si="9"/>
        <v>3</v>
      </c>
      <c r="Y4" s="63">
        <f t="shared" ref="Y4:AC4" si="10">O4-T4</f>
        <v>0</v>
      </c>
      <c r="Z4" s="62">
        <f t="shared" si="10"/>
        <v>-2</v>
      </c>
      <c r="AA4" s="62">
        <f t="shared" si="10"/>
        <v>-2</v>
      </c>
      <c r="AB4" s="62">
        <f t="shared" si="10"/>
        <v>-2</v>
      </c>
      <c r="AC4" s="62">
        <f t="shared" si="10"/>
        <v>-3</v>
      </c>
      <c r="AD4" s="61">
        <f t="shared" si="11"/>
        <v>4</v>
      </c>
      <c r="AE4" s="60">
        <f t="shared" si="12"/>
        <v>13</v>
      </c>
      <c r="AF4" s="60">
        <f t="shared" si="13"/>
        <v>-9</v>
      </c>
      <c r="AG4" s="3"/>
    </row>
    <row r="5" ht="15.75" customHeight="1">
      <c r="A5" s="58">
        <v>45351.0</v>
      </c>
      <c r="B5" s="3" t="s">
        <v>116</v>
      </c>
      <c r="C5" s="2" t="s">
        <v>136</v>
      </c>
      <c r="D5" s="3"/>
      <c r="E5" s="60" t="s">
        <v>118</v>
      </c>
      <c r="F5" s="59" t="s">
        <v>128</v>
      </c>
      <c r="G5" s="59" t="s">
        <v>129</v>
      </c>
      <c r="H5" s="59" t="s">
        <v>130</v>
      </c>
      <c r="I5" s="60" t="s">
        <v>131</v>
      </c>
      <c r="J5" s="59" t="s">
        <v>118</v>
      </c>
      <c r="K5" s="59" t="s">
        <v>119</v>
      </c>
      <c r="L5" s="59" t="s">
        <v>120</v>
      </c>
      <c r="M5" s="59" t="s">
        <v>134</v>
      </c>
      <c r="N5" s="59" t="s">
        <v>122</v>
      </c>
      <c r="O5" s="61">
        <f t="shared" si="2"/>
        <v>3</v>
      </c>
      <c r="P5" s="62">
        <f t="shared" si="3"/>
        <v>2</v>
      </c>
      <c r="Q5" s="62">
        <f>IF(L5="0 / No Metrics",0,IF(L5="1 / Identified Metrics",1,IF(L5="2 / Baselined Metrics",2,IF(L5="3 / Established &amp; collecting Metric Targets data",3,IF(L5="4 / Mature Global KPIs",4,IF(ISBLANK(L5),""))))))</f>
        <v>2</v>
      </c>
      <c r="R5" s="62">
        <f t="shared" si="4"/>
        <v>1</v>
      </c>
      <c r="S5" s="62">
        <f t="shared" si="5"/>
        <v>2</v>
      </c>
      <c r="T5" s="63">
        <f t="shared" si="6"/>
        <v>3</v>
      </c>
      <c r="U5" s="62">
        <f t="shared" si="7"/>
        <v>3</v>
      </c>
      <c r="V5" s="62">
        <f>IF(G5="0 / No Metrics",0,IF(G5="1 / Identified Metrics",1,IF(G5="2 / Baselined Metrics",2,IF(G5="3 / Established &amp; collecting Metric Targets data",3,IF(G5="4 / Mature Global KPIs",4,IF(ISBLANK(G5),""))))))</f>
        <v>3</v>
      </c>
      <c r="W5" s="62">
        <f t="shared" si="8"/>
        <v>3</v>
      </c>
      <c r="X5" s="62">
        <f t="shared" si="9"/>
        <v>3</v>
      </c>
      <c r="Y5" s="63">
        <f t="shared" ref="Y5:AC5" si="14">O5-T5</f>
        <v>0</v>
      </c>
      <c r="Z5" s="62">
        <f t="shared" si="14"/>
        <v>-1</v>
      </c>
      <c r="AA5" s="62">
        <f t="shared" si="14"/>
        <v>-1</v>
      </c>
      <c r="AB5" s="62">
        <f t="shared" si="14"/>
        <v>-2</v>
      </c>
      <c r="AC5" s="62">
        <f t="shared" si="14"/>
        <v>-1</v>
      </c>
      <c r="AD5" s="61">
        <f t="shared" si="11"/>
        <v>10</v>
      </c>
      <c r="AE5" s="60">
        <f t="shared" si="12"/>
        <v>15</v>
      </c>
      <c r="AF5" s="60">
        <f t="shared" si="13"/>
        <v>-5</v>
      </c>
      <c r="AG5" s="3"/>
    </row>
    <row r="6" ht="15.75" customHeight="1">
      <c r="A6" s="58">
        <v>45351.0</v>
      </c>
      <c r="B6" s="2" t="s">
        <v>137</v>
      </c>
      <c r="C6" s="2" t="s">
        <v>138</v>
      </c>
      <c r="D6" s="3"/>
      <c r="E6" s="59" t="s">
        <v>118</v>
      </c>
      <c r="F6" s="59" t="s">
        <v>128</v>
      </c>
      <c r="G6" s="59" t="s">
        <v>129</v>
      </c>
      <c r="H6" s="59" t="s">
        <v>130</v>
      </c>
      <c r="I6" s="59" t="s">
        <v>131</v>
      </c>
      <c r="J6" s="59" t="s">
        <v>127</v>
      </c>
      <c r="K6" s="59" t="s">
        <v>132</v>
      </c>
      <c r="L6" s="60" t="s">
        <v>133</v>
      </c>
      <c r="M6" s="60" t="s">
        <v>134</v>
      </c>
      <c r="N6" s="60" t="s">
        <v>135</v>
      </c>
      <c r="O6" s="61">
        <f t="shared" si="2"/>
        <v>1</v>
      </c>
      <c r="P6" s="62">
        <f t="shared" si="3"/>
        <v>1</v>
      </c>
      <c r="Q6" s="62">
        <f>IF(L6="0 / No Metrics",0,IF(L6="1 / Identified Metrics",1,IF(L6="2 / Baselined Metrics",2,IF(L6="3 / Established &amp; collecting Metric Targets data",3,IF(L6="4 / Mature, Global KPIs",4,IF(ISBLANK(L6),""))))))</f>
        <v>1</v>
      </c>
      <c r="R6" s="62">
        <f t="shared" si="4"/>
        <v>1</v>
      </c>
      <c r="S6" s="62">
        <f t="shared" si="5"/>
        <v>0</v>
      </c>
      <c r="T6" s="63">
        <f t="shared" si="6"/>
        <v>3</v>
      </c>
      <c r="U6" s="62">
        <f t="shared" si="7"/>
        <v>3</v>
      </c>
      <c r="V6" s="62">
        <f>IF(G6="0 / No Metrics",0,IF(G6="1 / Identified Metrics",1,IF(G6="2 / Baselined Metrics",2,IF(G6="3 / Established &amp; collecting Metric Targets data",3,IF(G6="4 / Mature, Global KPIs",4,IF(ISBLANK(G6),""))))))</f>
        <v>3</v>
      </c>
      <c r="W6" s="62">
        <f t="shared" si="8"/>
        <v>3</v>
      </c>
      <c r="X6" s="62">
        <f t="shared" si="9"/>
        <v>3</v>
      </c>
      <c r="Y6" s="63">
        <f t="shared" ref="Y6:AC6" si="15">O6-T6</f>
        <v>-2</v>
      </c>
      <c r="Z6" s="62">
        <f t="shared" si="15"/>
        <v>-2</v>
      </c>
      <c r="AA6" s="62">
        <f t="shared" si="15"/>
        <v>-2</v>
      </c>
      <c r="AB6" s="62">
        <f t="shared" si="15"/>
        <v>-2</v>
      </c>
      <c r="AC6" s="62">
        <f t="shared" si="15"/>
        <v>-3</v>
      </c>
      <c r="AD6" s="61">
        <f t="shared" si="11"/>
        <v>4</v>
      </c>
      <c r="AE6" s="60">
        <f t="shared" si="12"/>
        <v>15</v>
      </c>
      <c r="AF6" s="60">
        <f t="shared" si="13"/>
        <v>-11</v>
      </c>
      <c r="AG6" s="3"/>
    </row>
    <row r="7" ht="15.75" customHeight="1">
      <c r="A7" s="58">
        <v>45352.0</v>
      </c>
      <c r="B7" s="3" t="s">
        <v>116</v>
      </c>
      <c r="C7" s="2" t="s">
        <v>126</v>
      </c>
      <c r="D7" s="3"/>
      <c r="E7" s="60" t="s">
        <v>118</v>
      </c>
      <c r="F7" s="59" t="s">
        <v>128</v>
      </c>
      <c r="G7" s="59" t="s">
        <v>129</v>
      </c>
      <c r="H7" s="60" t="s">
        <v>139</v>
      </c>
      <c r="I7" s="60" t="s">
        <v>122</v>
      </c>
      <c r="J7" s="59" t="s">
        <v>123</v>
      </c>
      <c r="K7" s="60" t="s">
        <v>119</v>
      </c>
      <c r="L7" s="60" t="s">
        <v>129</v>
      </c>
      <c r="M7" s="60" t="s">
        <v>134</v>
      </c>
      <c r="N7" s="60" t="s">
        <v>124</v>
      </c>
      <c r="O7" s="61">
        <f t="shared" si="2"/>
        <v>2</v>
      </c>
      <c r="P7" s="62">
        <f t="shared" si="3"/>
        <v>2</v>
      </c>
      <c r="Q7" s="62">
        <f>IF(L7="0 / No Metrics",0,IF(L7="1 / Identified Metrics",1,IF(L7="2 / Baselined Metrics",2,IF(L7="3 / Established &amp; collecting Metric Targets data",3,IF(L7="4 / Mature Global KPIs",4,IF(ISBLANK(L7),""))))))</f>
        <v>3</v>
      </c>
      <c r="R7" s="62">
        <f t="shared" si="4"/>
        <v>1</v>
      </c>
      <c r="S7" s="62">
        <f t="shared" si="5"/>
        <v>1</v>
      </c>
      <c r="T7" s="63">
        <f t="shared" si="6"/>
        <v>3</v>
      </c>
      <c r="U7" s="62">
        <f t="shared" si="7"/>
        <v>3</v>
      </c>
      <c r="V7" s="62">
        <f>IF(G7="0 / No Metrics",0,IF(G7="1 / Identified Metrics",1,IF(G7="2 / Baselined Metrics",2,IF(G7="3 / Established &amp; collecting Metric Targets data",3,IF(G7="4 / Mature Global KPIs",4,IF(ISBLANK(G7),""))))))</f>
        <v>3</v>
      </c>
      <c r="W7" s="62">
        <f t="shared" si="8"/>
        <v>4</v>
      </c>
      <c r="X7" s="62">
        <f t="shared" si="9"/>
        <v>2</v>
      </c>
      <c r="Y7" s="63">
        <f t="shared" ref="Y7:AC7" si="16">O7-T7</f>
        <v>-1</v>
      </c>
      <c r="Z7" s="62">
        <f t="shared" si="16"/>
        <v>-1</v>
      </c>
      <c r="AA7" s="62">
        <f t="shared" si="16"/>
        <v>0</v>
      </c>
      <c r="AB7" s="62">
        <f t="shared" si="16"/>
        <v>-3</v>
      </c>
      <c r="AC7" s="62">
        <f t="shared" si="16"/>
        <v>-1</v>
      </c>
      <c r="AD7" s="61">
        <f t="shared" si="11"/>
        <v>9</v>
      </c>
      <c r="AE7" s="60">
        <f t="shared" si="12"/>
        <v>15</v>
      </c>
      <c r="AF7" s="60">
        <f t="shared" si="13"/>
        <v>-6</v>
      </c>
      <c r="AG7" s="3"/>
    </row>
    <row r="8" ht="15.75" customHeight="1">
      <c r="A8" s="58">
        <v>45352.0</v>
      </c>
      <c r="B8" s="3" t="s">
        <v>125</v>
      </c>
      <c r="C8" s="2" t="s">
        <v>140</v>
      </c>
      <c r="D8" s="3"/>
      <c r="E8" s="60" t="s">
        <v>118</v>
      </c>
      <c r="F8" s="60" t="s">
        <v>128</v>
      </c>
      <c r="G8" s="59" t="s">
        <v>129</v>
      </c>
      <c r="H8" s="60" t="s">
        <v>139</v>
      </c>
      <c r="I8" s="59" t="s">
        <v>131</v>
      </c>
      <c r="J8" s="60" t="s">
        <v>123</v>
      </c>
      <c r="K8" s="59" t="s">
        <v>132</v>
      </c>
      <c r="L8" s="59" t="s">
        <v>133</v>
      </c>
      <c r="M8" s="59" t="s">
        <v>121</v>
      </c>
      <c r="N8" s="59" t="s">
        <v>135</v>
      </c>
      <c r="O8" s="61">
        <f t="shared" si="2"/>
        <v>2</v>
      </c>
      <c r="P8" s="62">
        <f t="shared" si="3"/>
        <v>1</v>
      </c>
      <c r="Q8" s="62">
        <f>IF(L8="0 / No Metrics",0,IF(L8="1 / Identified Metrics",1,IF(L8="2 / Baselined Metrics",2,IF(L8="3 / Established &amp; collecting Metric Targets data",3,IF(L8="4 / Mature, Global KPIs",4,IF(ISBLANK(L8),""))))))</f>
        <v>1</v>
      </c>
      <c r="R8" s="62">
        <f t="shared" si="4"/>
        <v>2</v>
      </c>
      <c r="S8" s="62">
        <f t="shared" si="5"/>
        <v>0</v>
      </c>
      <c r="T8" s="63">
        <f t="shared" si="6"/>
        <v>3</v>
      </c>
      <c r="U8" s="62">
        <f t="shared" si="7"/>
        <v>3</v>
      </c>
      <c r="V8" s="62">
        <f>IF(G8="0 / No Metrics",0,IF(G8="1 / Identified Metrics",1,IF(G8="2 / Baselined Metrics",2,IF(G8="3 / Established &amp; collecting Metric Targets data",3,IF(G8="4 / Mature, Global KPIs",4,IF(ISBLANK(G8),""))))))</f>
        <v>3</v>
      </c>
      <c r="W8" s="62">
        <f t="shared" si="8"/>
        <v>4</v>
      </c>
      <c r="X8" s="62">
        <f t="shared" si="9"/>
        <v>3</v>
      </c>
      <c r="Y8" s="63">
        <f t="shared" ref="Y8:AC8" si="17">O8-T8</f>
        <v>-1</v>
      </c>
      <c r="Z8" s="62">
        <f t="shared" si="17"/>
        <v>-2</v>
      </c>
      <c r="AA8" s="62">
        <f t="shared" si="17"/>
        <v>-2</v>
      </c>
      <c r="AB8" s="62">
        <f t="shared" si="17"/>
        <v>-2</v>
      </c>
      <c r="AC8" s="62">
        <f t="shared" si="17"/>
        <v>-3</v>
      </c>
      <c r="AD8" s="61">
        <f t="shared" si="11"/>
        <v>6</v>
      </c>
      <c r="AE8" s="60">
        <f t="shared" si="12"/>
        <v>16</v>
      </c>
      <c r="AF8" s="60">
        <f t="shared" si="13"/>
        <v>-10</v>
      </c>
      <c r="AG8" s="3"/>
    </row>
    <row r="9" ht="15.75" customHeight="1">
      <c r="A9" s="58">
        <v>45352.0</v>
      </c>
      <c r="B9" s="2" t="s">
        <v>137</v>
      </c>
      <c r="C9" s="2" t="s">
        <v>140</v>
      </c>
      <c r="D9" s="3"/>
      <c r="E9" s="59" t="s">
        <v>127</v>
      </c>
      <c r="F9" s="59" t="s">
        <v>119</v>
      </c>
      <c r="G9" s="59" t="s">
        <v>129</v>
      </c>
      <c r="H9" s="60" t="s">
        <v>130</v>
      </c>
      <c r="I9" s="59" t="s">
        <v>141</v>
      </c>
      <c r="J9" s="59" t="s">
        <v>127</v>
      </c>
      <c r="K9" s="60" t="s">
        <v>142</v>
      </c>
      <c r="L9" s="59" t="s">
        <v>143</v>
      </c>
      <c r="M9" s="59" t="s">
        <v>144</v>
      </c>
      <c r="N9" s="59" t="s">
        <v>135</v>
      </c>
      <c r="O9" s="61">
        <f t="shared" si="2"/>
        <v>1</v>
      </c>
      <c r="P9" s="62">
        <f t="shared" si="3"/>
        <v>0</v>
      </c>
      <c r="Q9" s="62">
        <f>IF(L9="0 / No Metrics",0,IF(L9="1 / Identified Metrics",1,IF(L9="2 / Baselined Metrics",2,IF(L9="3 / Established &amp; collecting Metric Targets data",3,IF(L9="4 / Mature Global KPIs",4,IF(ISBLANK(L9),""))))))</f>
        <v>0</v>
      </c>
      <c r="R9" s="62">
        <f t="shared" si="4"/>
        <v>0</v>
      </c>
      <c r="S9" s="62">
        <f t="shared" si="5"/>
        <v>0</v>
      </c>
      <c r="T9" s="63">
        <f t="shared" si="6"/>
        <v>1</v>
      </c>
      <c r="U9" s="62">
        <f t="shared" si="7"/>
        <v>2</v>
      </c>
      <c r="V9" s="62">
        <f>IF(G9="0 / No Metrics",0,IF(G9="1 / Identified Metrics",1,IF(G9="2 / Baselined Metrics",2,IF(G9="3 / Established &amp; collecting Metric Targets data",3,IF(G9="4 / Mature Global KPIs",4,IF(ISBLANK(G9),""))))))</f>
        <v>3</v>
      </c>
      <c r="W9" s="62">
        <f t="shared" si="8"/>
        <v>3</v>
      </c>
      <c r="X9" s="62">
        <f t="shared" si="9"/>
        <v>4</v>
      </c>
      <c r="Y9" s="63">
        <f t="shared" ref="Y9:AC9" si="18">O9-T9</f>
        <v>0</v>
      </c>
      <c r="Z9" s="62">
        <f t="shared" si="18"/>
        <v>-2</v>
      </c>
      <c r="AA9" s="62">
        <f t="shared" si="18"/>
        <v>-3</v>
      </c>
      <c r="AB9" s="62">
        <f t="shared" si="18"/>
        <v>-3</v>
      </c>
      <c r="AC9" s="62">
        <f t="shared" si="18"/>
        <v>-4</v>
      </c>
      <c r="AD9" s="61">
        <f t="shared" si="11"/>
        <v>1</v>
      </c>
      <c r="AE9" s="60">
        <f t="shared" si="12"/>
        <v>13</v>
      </c>
      <c r="AF9" s="60">
        <f t="shared" si="13"/>
        <v>-12</v>
      </c>
      <c r="AG9" s="3"/>
    </row>
    <row r="10" ht="15.75" customHeight="1">
      <c r="A10" s="58">
        <v>45352.0</v>
      </c>
      <c r="B10" s="2" t="s">
        <v>116</v>
      </c>
      <c r="C10" s="2" t="s">
        <v>138</v>
      </c>
      <c r="D10" s="3"/>
      <c r="E10" s="60" t="s">
        <v>123</v>
      </c>
      <c r="F10" s="60" t="s">
        <v>119</v>
      </c>
      <c r="G10" s="59" t="s">
        <v>129</v>
      </c>
      <c r="H10" s="59" t="s">
        <v>130</v>
      </c>
      <c r="I10" s="59" t="s">
        <v>131</v>
      </c>
      <c r="J10" s="59" t="s">
        <v>118</v>
      </c>
      <c r="K10" s="59" t="s">
        <v>132</v>
      </c>
      <c r="L10" s="59" t="s">
        <v>133</v>
      </c>
      <c r="M10" s="60" t="s">
        <v>134</v>
      </c>
      <c r="N10" s="59" t="s">
        <v>135</v>
      </c>
      <c r="O10" s="61">
        <f t="shared" si="2"/>
        <v>3</v>
      </c>
      <c r="P10" s="62">
        <f t="shared" si="3"/>
        <v>1</v>
      </c>
      <c r="Q10" s="62">
        <f>IF(L10="0 / No Metrics",0,IF(L10="1 / Identified Metrics",1,IF(L10="2 / Baselined Metrics",2,IF(L10="3 / Established &amp; collecting Metric Targets data",3,IF(L10="4 / Mature, Global KPIs",4,IF(ISBLANK(L10),""))))))</f>
        <v>1</v>
      </c>
      <c r="R10" s="62">
        <f t="shared" si="4"/>
        <v>1</v>
      </c>
      <c r="S10" s="62">
        <f t="shared" si="5"/>
        <v>0</v>
      </c>
      <c r="T10" s="63">
        <f t="shared" si="6"/>
        <v>2</v>
      </c>
      <c r="U10" s="62">
        <f t="shared" si="7"/>
        <v>2</v>
      </c>
      <c r="V10" s="62">
        <f>IF(G10="0 / No Metrics",0,IF(G10="1 / Identified Metrics",1,IF(G10="2 / Baselined Metrics",2,IF(G10="3 / Established &amp; collecting Metric Targets data",3,IF(G10="4 / Mature, Global KPIs",4,IF(ISBLANK(G10),""))))))</f>
        <v>3</v>
      </c>
      <c r="W10" s="62">
        <f t="shared" si="8"/>
        <v>3</v>
      </c>
      <c r="X10" s="62">
        <f t="shared" si="9"/>
        <v>3</v>
      </c>
      <c r="Y10" s="63">
        <f t="shared" ref="Y10:AC10" si="19">O10-T10</f>
        <v>1</v>
      </c>
      <c r="Z10" s="62">
        <f t="shared" si="19"/>
        <v>-1</v>
      </c>
      <c r="AA10" s="62">
        <f t="shared" si="19"/>
        <v>-2</v>
      </c>
      <c r="AB10" s="62">
        <f t="shared" si="19"/>
        <v>-2</v>
      </c>
      <c r="AC10" s="62">
        <f t="shared" si="19"/>
        <v>-3</v>
      </c>
      <c r="AD10" s="61">
        <f t="shared" si="11"/>
        <v>6</v>
      </c>
      <c r="AE10" s="60">
        <f t="shared" si="12"/>
        <v>13</v>
      </c>
      <c r="AF10" s="60">
        <f t="shared" si="13"/>
        <v>-7</v>
      </c>
      <c r="AG10" s="3"/>
    </row>
    <row r="11" ht="15.75" customHeight="1">
      <c r="A11" s="58">
        <v>45353.0</v>
      </c>
      <c r="B11" s="3" t="s">
        <v>116</v>
      </c>
      <c r="C11" s="2" t="s">
        <v>117</v>
      </c>
      <c r="D11" s="3"/>
      <c r="E11" s="60" t="s">
        <v>118</v>
      </c>
      <c r="F11" s="59" t="s">
        <v>119</v>
      </c>
      <c r="G11" s="59" t="s">
        <v>120</v>
      </c>
      <c r="H11" s="59" t="s">
        <v>130</v>
      </c>
      <c r="I11" s="60" t="s">
        <v>131</v>
      </c>
      <c r="J11" s="59" t="s">
        <v>123</v>
      </c>
      <c r="K11" s="59" t="s">
        <v>132</v>
      </c>
      <c r="L11" s="59" t="s">
        <v>120</v>
      </c>
      <c r="M11" s="59" t="s">
        <v>134</v>
      </c>
      <c r="N11" s="59" t="s">
        <v>124</v>
      </c>
      <c r="O11" s="61">
        <f t="shared" si="2"/>
        <v>2</v>
      </c>
      <c r="P11" s="62">
        <f t="shared" si="3"/>
        <v>1</v>
      </c>
      <c r="Q11" s="62">
        <f>IF(L11="0 / No Metrics",0,IF(L11="1 / Identified Metrics",1,IF(L11="2 / Baselined Metrics",2,IF(L11="3 / Established &amp; collecting Metric Targets data",3,IF(L11="4 / Mature Global KPIs",4,IF(ISBLANK(L11),""))))))</f>
        <v>2</v>
      </c>
      <c r="R11" s="62">
        <f t="shared" si="4"/>
        <v>1</v>
      </c>
      <c r="S11" s="62">
        <f t="shared" si="5"/>
        <v>1</v>
      </c>
      <c r="T11" s="63">
        <f t="shared" si="6"/>
        <v>3</v>
      </c>
      <c r="U11" s="62">
        <f t="shared" si="7"/>
        <v>2</v>
      </c>
      <c r="V11" s="62">
        <f>IF(G11="0 / No Metrics",0,IF(G11="1 / Identified Metrics",1,IF(G11="2 / Baselined Metrics",2,IF(G11="3 / Established &amp; collecting Metric Targets data",3,IF(G11="4 / Mature Global KPIs",4,IF(ISBLANK(G11),""))))))</f>
        <v>2</v>
      </c>
      <c r="W11" s="62">
        <f t="shared" si="8"/>
        <v>3</v>
      </c>
      <c r="X11" s="62">
        <f t="shared" si="9"/>
        <v>3</v>
      </c>
      <c r="Y11" s="63">
        <f t="shared" ref="Y11:AC11" si="20">O11-T11</f>
        <v>-1</v>
      </c>
      <c r="Z11" s="62">
        <f t="shared" si="20"/>
        <v>-1</v>
      </c>
      <c r="AA11" s="62">
        <f t="shared" si="20"/>
        <v>0</v>
      </c>
      <c r="AB11" s="62">
        <f t="shared" si="20"/>
        <v>-2</v>
      </c>
      <c r="AC11" s="62">
        <f t="shared" si="20"/>
        <v>-2</v>
      </c>
      <c r="AD11" s="61">
        <f t="shared" si="11"/>
        <v>7</v>
      </c>
      <c r="AE11" s="60">
        <f t="shared" si="12"/>
        <v>13</v>
      </c>
      <c r="AF11" s="60">
        <f t="shared" si="13"/>
        <v>-6</v>
      </c>
      <c r="AG11" s="3"/>
    </row>
    <row r="12" ht="15.75" customHeight="1">
      <c r="A12" s="58">
        <v>45353.0</v>
      </c>
      <c r="B12" s="3" t="s">
        <v>125</v>
      </c>
      <c r="C12" s="2" t="s">
        <v>145</v>
      </c>
      <c r="D12" s="3"/>
      <c r="E12" s="60" t="s">
        <v>118</v>
      </c>
      <c r="F12" s="59" t="s">
        <v>128</v>
      </c>
      <c r="G12" s="60" t="s">
        <v>129</v>
      </c>
      <c r="H12" s="59" t="s">
        <v>130</v>
      </c>
      <c r="I12" s="60" t="s">
        <v>131</v>
      </c>
      <c r="J12" s="59" t="s">
        <v>127</v>
      </c>
      <c r="K12" s="59" t="s">
        <v>142</v>
      </c>
      <c r="L12" s="59" t="s">
        <v>143</v>
      </c>
      <c r="M12" s="59" t="s">
        <v>144</v>
      </c>
      <c r="N12" s="59" t="s">
        <v>135</v>
      </c>
      <c r="O12" s="61">
        <f t="shared" si="2"/>
        <v>1</v>
      </c>
      <c r="P12" s="62">
        <f t="shared" si="3"/>
        <v>0</v>
      </c>
      <c r="Q12" s="62">
        <f t="shared" ref="Q12:Q13" si="22">IF(L12="0 / No Metrics",0,IF(L12="1 / Identified Metrics",1,IF(L12="2 / Baselined Metrics",2,IF(L12="3 / Established &amp; collecting Metric Targets data",3,IF(L12="4 / Mature, Global KPIs",4,IF(ISBLANK(L12),""))))))</f>
        <v>0</v>
      </c>
      <c r="R12" s="62">
        <f t="shared" si="4"/>
        <v>0</v>
      </c>
      <c r="S12" s="62">
        <f t="shared" si="5"/>
        <v>0</v>
      </c>
      <c r="T12" s="63">
        <f t="shared" si="6"/>
        <v>3</v>
      </c>
      <c r="U12" s="62">
        <f t="shared" si="7"/>
        <v>3</v>
      </c>
      <c r="V12" s="62">
        <f t="shared" ref="V12:V13" si="23">IF(G12="0 / No Metrics",0,IF(G12="1 / Identified Metrics",1,IF(G12="2 / Baselined Metrics",2,IF(G12="3 / Established &amp; collecting Metric Targets data",3,IF(G12="4 / Mature, Global KPIs",4,IF(ISBLANK(G12),""))))))</f>
        <v>3</v>
      </c>
      <c r="W12" s="62">
        <f t="shared" si="8"/>
        <v>3</v>
      </c>
      <c r="X12" s="62">
        <f t="shared" si="9"/>
        <v>3</v>
      </c>
      <c r="Y12" s="63">
        <f t="shared" ref="Y12:AC12" si="21">O12-T12</f>
        <v>-2</v>
      </c>
      <c r="Z12" s="62">
        <f t="shared" si="21"/>
        <v>-3</v>
      </c>
      <c r="AA12" s="62">
        <f t="shared" si="21"/>
        <v>-3</v>
      </c>
      <c r="AB12" s="62">
        <f t="shared" si="21"/>
        <v>-3</v>
      </c>
      <c r="AC12" s="62">
        <f t="shared" si="21"/>
        <v>-3</v>
      </c>
      <c r="AD12" s="61">
        <f t="shared" si="11"/>
        <v>1</v>
      </c>
      <c r="AE12" s="60">
        <f t="shared" si="12"/>
        <v>15</v>
      </c>
      <c r="AF12" s="60">
        <f t="shared" si="13"/>
        <v>-14</v>
      </c>
      <c r="AG12" s="3"/>
    </row>
    <row r="13" ht="15.75" customHeight="1">
      <c r="A13" s="58">
        <v>45353.0</v>
      </c>
      <c r="B13" s="3" t="s">
        <v>125</v>
      </c>
      <c r="C13" s="2" t="s">
        <v>146</v>
      </c>
      <c r="D13" s="3"/>
      <c r="E13" s="60" t="s">
        <v>118</v>
      </c>
      <c r="F13" s="60" t="s">
        <v>128</v>
      </c>
      <c r="G13" s="59" t="s">
        <v>129</v>
      </c>
      <c r="H13" s="59" t="s">
        <v>130</v>
      </c>
      <c r="I13" s="59" t="s">
        <v>131</v>
      </c>
      <c r="J13" s="59" t="s">
        <v>127</v>
      </c>
      <c r="K13" s="59" t="s">
        <v>142</v>
      </c>
      <c r="L13" s="59" t="s">
        <v>143</v>
      </c>
      <c r="M13" s="59" t="s">
        <v>144</v>
      </c>
      <c r="N13" s="60" t="s">
        <v>135</v>
      </c>
      <c r="O13" s="61">
        <f t="shared" si="2"/>
        <v>1</v>
      </c>
      <c r="P13" s="62">
        <f t="shared" si="3"/>
        <v>0</v>
      </c>
      <c r="Q13" s="62">
        <f t="shared" si="22"/>
        <v>0</v>
      </c>
      <c r="R13" s="62">
        <f t="shared" si="4"/>
        <v>0</v>
      </c>
      <c r="S13" s="62">
        <f t="shared" si="5"/>
        <v>0</v>
      </c>
      <c r="T13" s="63">
        <f t="shared" si="6"/>
        <v>3</v>
      </c>
      <c r="U13" s="62">
        <f t="shared" si="7"/>
        <v>3</v>
      </c>
      <c r="V13" s="62">
        <f t="shared" si="23"/>
        <v>3</v>
      </c>
      <c r="W13" s="62">
        <f t="shared" si="8"/>
        <v>3</v>
      </c>
      <c r="X13" s="62">
        <f t="shared" si="9"/>
        <v>3</v>
      </c>
      <c r="Y13" s="63">
        <f t="shared" ref="Y13:AC13" si="24">O13-T13</f>
        <v>-2</v>
      </c>
      <c r="Z13" s="62">
        <f t="shared" si="24"/>
        <v>-3</v>
      </c>
      <c r="AA13" s="62">
        <f t="shared" si="24"/>
        <v>-3</v>
      </c>
      <c r="AB13" s="62">
        <f t="shared" si="24"/>
        <v>-3</v>
      </c>
      <c r="AC13" s="62">
        <f t="shared" si="24"/>
        <v>-3</v>
      </c>
      <c r="AD13" s="61">
        <f t="shared" si="11"/>
        <v>1</v>
      </c>
      <c r="AE13" s="60">
        <f t="shared" si="12"/>
        <v>15</v>
      </c>
      <c r="AF13" s="60">
        <f t="shared" si="13"/>
        <v>-14</v>
      </c>
      <c r="AG13" s="3"/>
    </row>
    <row r="14" ht="15.75" customHeight="1">
      <c r="A14" s="58">
        <v>45354.0</v>
      </c>
      <c r="B14" s="3" t="s">
        <v>116</v>
      </c>
      <c r="C14" s="2" t="s">
        <v>147</v>
      </c>
      <c r="D14" s="3"/>
      <c r="E14" s="60" t="s">
        <v>118</v>
      </c>
      <c r="F14" s="59" t="s">
        <v>128</v>
      </c>
      <c r="G14" s="59" t="s">
        <v>120</v>
      </c>
      <c r="H14" s="59" t="s">
        <v>130</v>
      </c>
      <c r="I14" s="60" t="s">
        <v>141</v>
      </c>
      <c r="J14" s="59" t="s">
        <v>118</v>
      </c>
      <c r="K14" s="59" t="s">
        <v>119</v>
      </c>
      <c r="L14" s="59" t="s">
        <v>120</v>
      </c>
      <c r="M14" s="60" t="s">
        <v>121</v>
      </c>
      <c r="N14" s="59" t="s">
        <v>124</v>
      </c>
      <c r="O14" s="61">
        <f t="shared" si="2"/>
        <v>3</v>
      </c>
      <c r="P14" s="62">
        <f t="shared" si="3"/>
        <v>2</v>
      </c>
      <c r="Q14" s="62">
        <f>IF(L14="0 / No Metrics",0,IF(L14="1 / Identified Metrics",1,IF(L14="2 / Baselined Metrics",2,IF(L14="3 / Established &amp; collecting Metric Targets data",3,IF(L14="4 / Mature Global KPIs",4,IF(ISBLANK(L14),""))))))</f>
        <v>2</v>
      </c>
      <c r="R14" s="62">
        <f t="shared" si="4"/>
        <v>2</v>
      </c>
      <c r="S14" s="62">
        <f t="shared" si="5"/>
        <v>1</v>
      </c>
      <c r="T14" s="63">
        <f t="shared" si="6"/>
        <v>3</v>
      </c>
      <c r="U14" s="62">
        <f t="shared" si="7"/>
        <v>3</v>
      </c>
      <c r="V14" s="62">
        <f>IF(G14="0 / No Metrics",0,IF(G14="1 / Identified Metrics",1,IF(G14="2 / Baselined Metrics",2,IF(G14="3 / Established &amp; collecting Metric Targets data",3,IF(G14="4 / Mature Global KPIs",4,IF(ISBLANK(G14),""))))))</f>
        <v>2</v>
      </c>
      <c r="W14" s="62">
        <f t="shared" si="8"/>
        <v>3</v>
      </c>
      <c r="X14" s="62">
        <f t="shared" si="9"/>
        <v>4</v>
      </c>
      <c r="Y14" s="63">
        <f t="shared" ref="Y14:AC14" si="25">O14-T14</f>
        <v>0</v>
      </c>
      <c r="Z14" s="62">
        <f t="shared" si="25"/>
        <v>-1</v>
      </c>
      <c r="AA14" s="62">
        <f t="shared" si="25"/>
        <v>0</v>
      </c>
      <c r="AB14" s="62">
        <f t="shared" si="25"/>
        <v>-1</v>
      </c>
      <c r="AC14" s="62">
        <f t="shared" si="25"/>
        <v>-3</v>
      </c>
      <c r="AD14" s="61">
        <f t="shared" si="11"/>
        <v>10</v>
      </c>
      <c r="AE14" s="60">
        <f t="shared" si="12"/>
        <v>15</v>
      </c>
      <c r="AF14" s="60">
        <f t="shared" si="13"/>
        <v>-5</v>
      </c>
      <c r="AG14" s="3"/>
    </row>
    <row r="15" ht="15.75" customHeight="1">
      <c r="A15" s="58">
        <v>45354.0</v>
      </c>
      <c r="B15" s="2" t="s">
        <v>116</v>
      </c>
      <c r="C15" s="2" t="s">
        <v>148</v>
      </c>
      <c r="D15" s="3"/>
      <c r="E15" s="59" t="s">
        <v>118</v>
      </c>
      <c r="F15" s="60" t="s">
        <v>128</v>
      </c>
      <c r="G15" s="59" t="s">
        <v>129</v>
      </c>
      <c r="H15" s="59" t="s">
        <v>130</v>
      </c>
      <c r="I15" s="59" t="s">
        <v>141</v>
      </c>
      <c r="J15" s="59" t="s">
        <v>118</v>
      </c>
      <c r="K15" s="59" t="s">
        <v>119</v>
      </c>
      <c r="L15" s="59" t="s">
        <v>120</v>
      </c>
      <c r="M15" s="59" t="s">
        <v>121</v>
      </c>
      <c r="N15" s="59" t="s">
        <v>135</v>
      </c>
      <c r="O15" s="61">
        <f t="shared" si="2"/>
        <v>3</v>
      </c>
      <c r="P15" s="62">
        <f t="shared" si="3"/>
        <v>2</v>
      </c>
      <c r="Q15" s="62">
        <f t="shared" ref="Q15:Q22" si="27">IF(L15="0 / No Metrics",0,IF(L15="1 / Identified Metrics",1,IF(L15="2 / Baselined Metrics",2,IF(L15="3 / Established &amp; collecting Metric Targets data",3,IF(L15="4 / Mature, Global KPIs",4,IF(ISBLANK(L15),""))))))</f>
        <v>2</v>
      </c>
      <c r="R15" s="62">
        <f t="shared" si="4"/>
        <v>2</v>
      </c>
      <c r="S15" s="62">
        <f t="shared" si="5"/>
        <v>0</v>
      </c>
      <c r="T15" s="63">
        <f t="shared" si="6"/>
        <v>3</v>
      </c>
      <c r="U15" s="62">
        <f t="shared" si="7"/>
        <v>3</v>
      </c>
      <c r="V15" s="62">
        <f t="shared" ref="V15:V22" si="28">IF(G15="0 / No Metrics",0,IF(G15="1 / Identified Metrics",1,IF(G15="2 / Baselined Metrics",2,IF(G15="3 / Established &amp; collecting Metric Targets data",3,IF(G15="4 / Mature, Global KPIs",4,IF(ISBLANK(G15),""))))))</f>
        <v>3</v>
      </c>
      <c r="W15" s="62">
        <f t="shared" si="8"/>
        <v>3</v>
      </c>
      <c r="X15" s="62">
        <f t="shared" si="9"/>
        <v>4</v>
      </c>
      <c r="Y15" s="63">
        <f t="shared" ref="Y15:AC15" si="26">O15-T15</f>
        <v>0</v>
      </c>
      <c r="Z15" s="62">
        <f t="shared" si="26"/>
        <v>-1</v>
      </c>
      <c r="AA15" s="62">
        <f t="shared" si="26"/>
        <v>-1</v>
      </c>
      <c r="AB15" s="62">
        <f t="shared" si="26"/>
        <v>-1</v>
      </c>
      <c r="AC15" s="62">
        <f t="shared" si="26"/>
        <v>-4</v>
      </c>
      <c r="AD15" s="61">
        <f t="shared" si="11"/>
        <v>9</v>
      </c>
      <c r="AE15" s="60">
        <f t="shared" si="12"/>
        <v>16</v>
      </c>
      <c r="AF15" s="60">
        <f t="shared" si="13"/>
        <v>-7</v>
      </c>
      <c r="AG15" s="3"/>
    </row>
    <row r="16" ht="15.75" customHeight="1">
      <c r="A16" s="58">
        <v>45354.0</v>
      </c>
      <c r="B16" s="3" t="s">
        <v>125</v>
      </c>
      <c r="C16" s="2" t="s">
        <v>149</v>
      </c>
      <c r="D16" s="3"/>
      <c r="E16" s="59" t="s">
        <v>123</v>
      </c>
      <c r="F16" s="60" t="s">
        <v>128</v>
      </c>
      <c r="G16" s="59" t="s">
        <v>129</v>
      </c>
      <c r="H16" s="59" t="s">
        <v>139</v>
      </c>
      <c r="I16" s="59" t="s">
        <v>131</v>
      </c>
      <c r="J16" s="59" t="s">
        <v>127</v>
      </c>
      <c r="K16" s="60" t="s">
        <v>132</v>
      </c>
      <c r="L16" s="59" t="s">
        <v>133</v>
      </c>
      <c r="M16" s="59" t="s">
        <v>134</v>
      </c>
      <c r="N16" s="59" t="s">
        <v>135</v>
      </c>
      <c r="O16" s="61">
        <f t="shared" si="2"/>
        <v>1</v>
      </c>
      <c r="P16" s="62">
        <f t="shared" si="3"/>
        <v>1</v>
      </c>
      <c r="Q16" s="62">
        <f t="shared" si="27"/>
        <v>1</v>
      </c>
      <c r="R16" s="62">
        <f t="shared" si="4"/>
        <v>1</v>
      </c>
      <c r="S16" s="62">
        <f t="shared" si="5"/>
        <v>0</v>
      </c>
      <c r="T16" s="63">
        <f t="shared" si="6"/>
        <v>2</v>
      </c>
      <c r="U16" s="62">
        <f t="shared" si="7"/>
        <v>3</v>
      </c>
      <c r="V16" s="62">
        <f t="shared" si="28"/>
        <v>3</v>
      </c>
      <c r="W16" s="62">
        <f t="shared" si="8"/>
        <v>4</v>
      </c>
      <c r="X16" s="62">
        <f t="shared" si="9"/>
        <v>3</v>
      </c>
      <c r="Y16" s="63">
        <f t="shared" ref="Y16:AC16" si="29">O16-T16</f>
        <v>-1</v>
      </c>
      <c r="Z16" s="62">
        <f t="shared" si="29"/>
        <v>-2</v>
      </c>
      <c r="AA16" s="62">
        <f t="shared" si="29"/>
        <v>-2</v>
      </c>
      <c r="AB16" s="62">
        <f t="shared" si="29"/>
        <v>-3</v>
      </c>
      <c r="AC16" s="62">
        <f t="shared" si="29"/>
        <v>-3</v>
      </c>
      <c r="AD16" s="61">
        <f t="shared" si="11"/>
        <v>4</v>
      </c>
      <c r="AE16" s="60">
        <f t="shared" si="12"/>
        <v>15</v>
      </c>
      <c r="AF16" s="60">
        <f t="shared" si="13"/>
        <v>-11</v>
      </c>
    </row>
    <row r="17" ht="15.75" customHeight="1">
      <c r="A17" s="58">
        <v>45355.0</v>
      </c>
      <c r="B17" s="65" t="s">
        <v>137</v>
      </c>
      <c r="C17" s="2" t="s">
        <v>149</v>
      </c>
      <c r="E17" s="59" t="s">
        <v>118</v>
      </c>
      <c r="F17" s="59" t="s">
        <v>128</v>
      </c>
      <c r="G17" s="59" t="s">
        <v>129</v>
      </c>
      <c r="H17" s="59" t="s">
        <v>130</v>
      </c>
      <c r="I17" s="59" t="s">
        <v>131</v>
      </c>
      <c r="J17" s="59" t="s">
        <v>127</v>
      </c>
      <c r="K17" s="59" t="s">
        <v>142</v>
      </c>
      <c r="L17" s="59" t="s">
        <v>143</v>
      </c>
      <c r="M17" s="59" t="s">
        <v>134</v>
      </c>
      <c r="N17" s="59" t="s">
        <v>135</v>
      </c>
      <c r="O17" s="61">
        <f t="shared" si="2"/>
        <v>1</v>
      </c>
      <c r="P17" s="62">
        <f t="shared" si="3"/>
        <v>0</v>
      </c>
      <c r="Q17" s="62">
        <f t="shared" si="27"/>
        <v>0</v>
      </c>
      <c r="R17" s="62">
        <f t="shared" si="4"/>
        <v>1</v>
      </c>
      <c r="S17" s="62">
        <f t="shared" si="5"/>
        <v>0</v>
      </c>
      <c r="T17" s="63">
        <f t="shared" si="6"/>
        <v>3</v>
      </c>
      <c r="U17" s="62">
        <f t="shared" si="7"/>
        <v>3</v>
      </c>
      <c r="V17" s="62">
        <f t="shared" si="28"/>
        <v>3</v>
      </c>
      <c r="W17" s="62">
        <f t="shared" si="8"/>
        <v>3</v>
      </c>
      <c r="X17" s="62">
        <f t="shared" si="9"/>
        <v>3</v>
      </c>
      <c r="Y17" s="63">
        <f t="shared" ref="Y17:AC17" si="30">O17-T17</f>
        <v>-2</v>
      </c>
      <c r="Z17" s="62">
        <f t="shared" si="30"/>
        <v>-3</v>
      </c>
      <c r="AA17" s="62">
        <f t="shared" si="30"/>
        <v>-3</v>
      </c>
      <c r="AB17" s="62">
        <f t="shared" si="30"/>
        <v>-2</v>
      </c>
      <c r="AC17" s="62">
        <f t="shared" si="30"/>
        <v>-3</v>
      </c>
      <c r="AD17" s="61">
        <f t="shared" si="11"/>
        <v>2</v>
      </c>
      <c r="AE17" s="60">
        <f t="shared" si="12"/>
        <v>15</v>
      </c>
      <c r="AF17" s="60">
        <f t="shared" si="13"/>
        <v>-13</v>
      </c>
    </row>
    <row r="18" ht="15.75" customHeight="1">
      <c r="A18" s="58">
        <v>45356.0</v>
      </c>
      <c r="B18" s="65" t="s">
        <v>116</v>
      </c>
      <c r="C18" s="2" t="s">
        <v>149</v>
      </c>
      <c r="E18" s="59" t="s">
        <v>150</v>
      </c>
      <c r="F18" s="59" t="s">
        <v>128</v>
      </c>
      <c r="G18" s="59" t="s">
        <v>129</v>
      </c>
      <c r="H18" s="59" t="s">
        <v>130</v>
      </c>
      <c r="I18" s="59" t="s">
        <v>131</v>
      </c>
      <c r="J18" s="59" t="s">
        <v>118</v>
      </c>
      <c r="K18" s="59" t="s">
        <v>119</v>
      </c>
      <c r="L18" s="59" t="s">
        <v>133</v>
      </c>
      <c r="M18" s="59" t="s">
        <v>121</v>
      </c>
      <c r="N18" s="59" t="s">
        <v>135</v>
      </c>
      <c r="O18" s="61">
        <f t="shared" si="2"/>
        <v>3</v>
      </c>
      <c r="P18" s="62">
        <f t="shared" si="3"/>
        <v>2</v>
      </c>
      <c r="Q18" s="62">
        <f t="shared" si="27"/>
        <v>1</v>
      </c>
      <c r="R18" s="62">
        <f t="shared" si="4"/>
        <v>2</v>
      </c>
      <c r="S18" s="62">
        <f t="shared" si="5"/>
        <v>0</v>
      </c>
      <c r="T18" s="63">
        <f t="shared" si="6"/>
        <v>4</v>
      </c>
      <c r="U18" s="62">
        <f t="shared" si="7"/>
        <v>3</v>
      </c>
      <c r="V18" s="62">
        <f t="shared" si="28"/>
        <v>3</v>
      </c>
      <c r="W18" s="62">
        <f t="shared" si="8"/>
        <v>3</v>
      </c>
      <c r="X18" s="62">
        <f t="shared" si="9"/>
        <v>3</v>
      </c>
      <c r="Y18" s="63">
        <f t="shared" ref="Y18:AC18" si="31">O18-T18</f>
        <v>-1</v>
      </c>
      <c r="Z18" s="62">
        <f t="shared" si="31"/>
        <v>-1</v>
      </c>
      <c r="AA18" s="62">
        <f t="shared" si="31"/>
        <v>-2</v>
      </c>
      <c r="AB18" s="62">
        <f t="shared" si="31"/>
        <v>-1</v>
      </c>
      <c r="AC18" s="62">
        <f t="shared" si="31"/>
        <v>-3</v>
      </c>
      <c r="AD18" s="61">
        <f t="shared" si="11"/>
        <v>8</v>
      </c>
      <c r="AE18" s="60">
        <f t="shared" si="12"/>
        <v>16</v>
      </c>
      <c r="AF18" s="60">
        <f t="shared" si="13"/>
        <v>-8</v>
      </c>
    </row>
    <row r="19" ht="15.75" customHeight="1">
      <c r="A19" s="58">
        <v>45357.0</v>
      </c>
      <c r="B19" s="65" t="s">
        <v>137</v>
      </c>
      <c r="C19" s="2" t="s">
        <v>151</v>
      </c>
      <c r="E19" s="59" t="s">
        <v>123</v>
      </c>
      <c r="F19" s="59" t="s">
        <v>128</v>
      </c>
      <c r="G19" s="59" t="s">
        <v>120</v>
      </c>
      <c r="H19" s="59" t="s">
        <v>130</v>
      </c>
      <c r="I19" s="59" t="s">
        <v>131</v>
      </c>
      <c r="J19" s="59" t="s">
        <v>127</v>
      </c>
      <c r="K19" s="59" t="s">
        <v>132</v>
      </c>
      <c r="L19" s="59" t="s">
        <v>133</v>
      </c>
      <c r="M19" s="59" t="s">
        <v>144</v>
      </c>
      <c r="N19" s="59" t="s">
        <v>135</v>
      </c>
      <c r="O19" s="61">
        <f t="shared" si="2"/>
        <v>1</v>
      </c>
      <c r="P19" s="62">
        <f t="shared" si="3"/>
        <v>1</v>
      </c>
      <c r="Q19" s="62">
        <f t="shared" si="27"/>
        <v>1</v>
      </c>
      <c r="R19" s="62">
        <f t="shared" si="4"/>
        <v>0</v>
      </c>
      <c r="S19" s="62">
        <f t="shared" si="5"/>
        <v>0</v>
      </c>
      <c r="T19" s="63">
        <f t="shared" si="6"/>
        <v>2</v>
      </c>
      <c r="U19" s="62">
        <f t="shared" si="7"/>
        <v>3</v>
      </c>
      <c r="V19" s="62">
        <f t="shared" si="28"/>
        <v>2</v>
      </c>
      <c r="W19" s="62">
        <f t="shared" si="8"/>
        <v>3</v>
      </c>
      <c r="X19" s="62">
        <f t="shared" si="9"/>
        <v>3</v>
      </c>
      <c r="Y19" s="63">
        <f t="shared" ref="Y19:AC19" si="32">O19-T19</f>
        <v>-1</v>
      </c>
      <c r="Z19" s="62">
        <f t="shared" si="32"/>
        <v>-2</v>
      </c>
      <c r="AA19" s="62">
        <f t="shared" si="32"/>
        <v>-1</v>
      </c>
      <c r="AB19" s="62">
        <f t="shared" si="32"/>
        <v>-3</v>
      </c>
      <c r="AC19" s="62">
        <f t="shared" si="32"/>
        <v>-3</v>
      </c>
      <c r="AD19" s="61">
        <f t="shared" si="11"/>
        <v>3</v>
      </c>
      <c r="AE19" s="60">
        <f t="shared" si="12"/>
        <v>13</v>
      </c>
      <c r="AF19" s="60">
        <f t="shared" si="13"/>
        <v>-10</v>
      </c>
    </row>
    <row r="20" ht="15.75" customHeight="1">
      <c r="A20" s="58">
        <v>45358.0</v>
      </c>
      <c r="B20" s="65" t="s">
        <v>116</v>
      </c>
      <c r="C20" s="2" t="s">
        <v>151</v>
      </c>
      <c r="E20" s="59" t="s">
        <v>118</v>
      </c>
      <c r="F20" s="59" t="s">
        <v>128</v>
      </c>
      <c r="G20" s="59" t="s">
        <v>129</v>
      </c>
      <c r="H20" s="59" t="s">
        <v>139</v>
      </c>
      <c r="I20" s="59" t="s">
        <v>131</v>
      </c>
      <c r="J20" s="59" t="s">
        <v>123</v>
      </c>
      <c r="K20" s="59" t="s">
        <v>132</v>
      </c>
      <c r="L20" s="59" t="s">
        <v>133</v>
      </c>
      <c r="M20" s="59" t="s">
        <v>121</v>
      </c>
      <c r="N20" s="59" t="s">
        <v>135</v>
      </c>
      <c r="O20" s="61">
        <f t="shared" si="2"/>
        <v>2</v>
      </c>
      <c r="P20" s="62">
        <f t="shared" si="3"/>
        <v>1</v>
      </c>
      <c r="Q20" s="62">
        <f t="shared" si="27"/>
        <v>1</v>
      </c>
      <c r="R20" s="62">
        <f t="shared" si="4"/>
        <v>2</v>
      </c>
      <c r="S20" s="62">
        <f t="shared" si="5"/>
        <v>0</v>
      </c>
      <c r="T20" s="63">
        <f t="shared" si="6"/>
        <v>3</v>
      </c>
      <c r="U20" s="62">
        <f t="shared" si="7"/>
        <v>3</v>
      </c>
      <c r="V20" s="62">
        <f t="shared" si="28"/>
        <v>3</v>
      </c>
      <c r="W20" s="62">
        <f t="shared" si="8"/>
        <v>4</v>
      </c>
      <c r="X20" s="62">
        <f t="shared" si="9"/>
        <v>3</v>
      </c>
      <c r="Y20" s="63">
        <f t="shared" ref="Y20:AC20" si="33">O20-T20</f>
        <v>-1</v>
      </c>
      <c r="Z20" s="62">
        <f t="shared" si="33"/>
        <v>-2</v>
      </c>
      <c r="AA20" s="62">
        <f t="shared" si="33"/>
        <v>-2</v>
      </c>
      <c r="AB20" s="62">
        <f t="shared" si="33"/>
        <v>-2</v>
      </c>
      <c r="AC20" s="62">
        <f t="shared" si="33"/>
        <v>-3</v>
      </c>
      <c r="AD20" s="61">
        <f t="shared" si="11"/>
        <v>6</v>
      </c>
      <c r="AE20" s="60">
        <f t="shared" si="12"/>
        <v>16</v>
      </c>
      <c r="AF20" s="60">
        <f t="shared" si="13"/>
        <v>-10</v>
      </c>
    </row>
    <row r="21" ht="15.75" customHeight="1">
      <c r="A21" s="58">
        <v>45359.0</v>
      </c>
      <c r="B21" s="65" t="s">
        <v>116</v>
      </c>
      <c r="C21" s="2" t="s">
        <v>152</v>
      </c>
      <c r="E21" s="59" t="s">
        <v>118</v>
      </c>
      <c r="F21" s="59" t="s">
        <v>128</v>
      </c>
      <c r="G21" s="59" t="s">
        <v>129</v>
      </c>
      <c r="H21" s="59" t="s">
        <v>130</v>
      </c>
      <c r="I21" s="59" t="s">
        <v>131</v>
      </c>
      <c r="J21" s="59" t="s">
        <v>127</v>
      </c>
      <c r="K21" s="59" t="s">
        <v>142</v>
      </c>
      <c r="L21" s="59" t="s">
        <v>143</v>
      </c>
      <c r="M21" s="59" t="s">
        <v>144</v>
      </c>
      <c r="N21" s="59" t="s">
        <v>135</v>
      </c>
      <c r="O21" s="61">
        <f t="shared" si="2"/>
        <v>1</v>
      </c>
      <c r="P21" s="62">
        <f t="shared" si="3"/>
        <v>0</v>
      </c>
      <c r="Q21" s="62">
        <f t="shared" si="27"/>
        <v>0</v>
      </c>
      <c r="R21" s="62">
        <f t="shared" si="4"/>
        <v>0</v>
      </c>
      <c r="S21" s="62">
        <f t="shared" si="5"/>
        <v>0</v>
      </c>
      <c r="T21" s="63">
        <f t="shared" si="6"/>
        <v>3</v>
      </c>
      <c r="U21" s="62">
        <f t="shared" si="7"/>
        <v>3</v>
      </c>
      <c r="V21" s="62">
        <f t="shared" si="28"/>
        <v>3</v>
      </c>
      <c r="W21" s="62">
        <f t="shared" si="8"/>
        <v>3</v>
      </c>
      <c r="X21" s="62">
        <f t="shared" si="9"/>
        <v>3</v>
      </c>
      <c r="Y21" s="63">
        <f t="shared" ref="Y21:AC21" si="34">O21-T21</f>
        <v>-2</v>
      </c>
      <c r="Z21" s="62">
        <f t="shared" si="34"/>
        <v>-3</v>
      </c>
      <c r="AA21" s="62">
        <f t="shared" si="34"/>
        <v>-3</v>
      </c>
      <c r="AB21" s="62">
        <f t="shared" si="34"/>
        <v>-3</v>
      </c>
      <c r="AC21" s="62">
        <f t="shared" si="34"/>
        <v>-3</v>
      </c>
      <c r="AD21" s="61">
        <f t="shared" si="11"/>
        <v>1</v>
      </c>
      <c r="AE21" s="60">
        <f t="shared" si="12"/>
        <v>15</v>
      </c>
      <c r="AF21" s="60">
        <f t="shared" si="13"/>
        <v>-14</v>
      </c>
    </row>
    <row r="22" ht="15.75" customHeight="1">
      <c r="A22" s="58">
        <v>45360.0</v>
      </c>
      <c r="B22" s="65" t="s">
        <v>116</v>
      </c>
      <c r="C22" s="2" t="s">
        <v>149</v>
      </c>
      <c r="E22" s="59" t="s">
        <v>118</v>
      </c>
      <c r="F22" s="59" t="s">
        <v>128</v>
      </c>
      <c r="G22" s="59" t="s">
        <v>129</v>
      </c>
      <c r="H22" s="59" t="s">
        <v>130</v>
      </c>
      <c r="I22" s="59" t="s">
        <v>131</v>
      </c>
      <c r="J22" s="59" t="s">
        <v>127</v>
      </c>
      <c r="K22" s="59" t="s">
        <v>132</v>
      </c>
      <c r="L22" s="59" t="s">
        <v>143</v>
      </c>
      <c r="M22" s="59" t="s">
        <v>134</v>
      </c>
      <c r="N22" s="59" t="s">
        <v>124</v>
      </c>
      <c r="O22" s="61">
        <f t="shared" si="2"/>
        <v>1</v>
      </c>
      <c r="P22" s="62">
        <f t="shared" si="3"/>
        <v>1</v>
      </c>
      <c r="Q22" s="62">
        <f t="shared" si="27"/>
        <v>0</v>
      </c>
      <c r="R22" s="62">
        <f t="shared" si="4"/>
        <v>1</v>
      </c>
      <c r="S22" s="62">
        <f t="shared" si="5"/>
        <v>1</v>
      </c>
      <c r="T22" s="63">
        <f t="shared" si="6"/>
        <v>3</v>
      </c>
      <c r="U22" s="62">
        <f t="shared" si="7"/>
        <v>3</v>
      </c>
      <c r="V22" s="62">
        <f t="shared" si="28"/>
        <v>3</v>
      </c>
      <c r="W22" s="62">
        <f t="shared" si="8"/>
        <v>3</v>
      </c>
      <c r="X22" s="62">
        <f t="shared" si="9"/>
        <v>3</v>
      </c>
      <c r="Y22" s="63">
        <f t="shared" ref="Y22:AC22" si="35">O22-T22</f>
        <v>-2</v>
      </c>
      <c r="Z22" s="62">
        <f t="shared" si="35"/>
        <v>-2</v>
      </c>
      <c r="AA22" s="62">
        <f t="shared" si="35"/>
        <v>-3</v>
      </c>
      <c r="AB22" s="62">
        <f t="shared" si="35"/>
        <v>-2</v>
      </c>
      <c r="AC22" s="62">
        <f t="shared" si="35"/>
        <v>-2</v>
      </c>
      <c r="AD22" s="61">
        <f t="shared" si="11"/>
        <v>4</v>
      </c>
      <c r="AE22" s="60">
        <f t="shared" si="12"/>
        <v>15</v>
      </c>
      <c r="AF22" s="60">
        <f t="shared" si="13"/>
        <v>-11</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autoFilter ref="$A$1:$AG$22"/>
  <customSheetViews>
    <customSheetView guid="{3866B7AF-9FE3-4101-8C52-584D0AB9C54D}" filter="1" showAutoFilter="1">
      <autoFilter ref="$A$2:$AF$18"/>
      <extLst>
        <ext uri="GoogleSheetsCustomDataVersion1">
          <go:sheetsCustomData xmlns:go="http://customooxmlschemas.google.com/" filterViewId="1112896870"/>
        </ext>
      </extLst>
    </customSheetView>
    <customSheetView guid="{3866B7AF-9FE3-4101-8C52-584D0AB9C54D}" filter="1" showAutoFilter="1">
      <autoFilter ref="$A$2:$AF$18"/>
      <extLst>
        <ext uri="GoogleSheetsCustomDataVersion1">
          <go:sheetsCustomData xmlns:go="http://customooxmlschemas.google.com/" filterViewId="501870179"/>
        </ext>
      </extLst>
    </customSheetView>
  </customSheetViews>
  <mergeCells count="7">
    <mergeCell ref="A1:D1"/>
    <mergeCell ref="E1:I1"/>
    <mergeCell ref="J1:N1"/>
    <mergeCell ref="O1:S1"/>
    <mergeCell ref="T1:X1"/>
    <mergeCell ref="Y1:AC1"/>
    <mergeCell ref="AD1:AF1"/>
  </mergeCells>
  <dataValidations>
    <dataValidation type="list" allowBlank="1" showErrorMessage="1" sqref="G2:G22 L3:L22">
      <formula1>"0 / No Metrics,1 / Identified Metrics,2 / Baselined Metrics,3 / Established &amp; collecting Metric Targets data,4 / Mature Global KPIs"</formula1>
    </dataValidation>
    <dataValidation type="list" allowBlank="1" showErrorMessage="1" sqref="H3:H22 M3:M22">
      <formula1>"0 / No Adoption,1 / Siloed Adoption,2 / Initial Standardized Adoption,3 / Key Adoption,4 / Full Adoption"</formula1>
    </dataValidation>
    <dataValidation type="list" allowBlank="1" showErrorMessage="1" sqref="E3:E22 J3:J22">
      <formula1>"0 / No Knowledge,1 / Partial Knowledge,2 / Developing Knowledge,3 / Full Knowledge,4 / Knowledge Leader"</formula1>
    </dataValidation>
    <dataValidation type="list" allowBlank="1" showErrorMessage="1" sqref="I3:I22 N3:N22">
      <formula1>"0 / No Automation,1 / Identified Automation Opportunities,2 / Experimental Automation,3 / Primary Automation,4 / Full Automation"</formula1>
    </dataValidation>
    <dataValidation type="list" allowBlank="1" showErrorMessage="1" sqref="C3:C22">
      <formula1>'lists (hide this sheet)'!$A$3:$A$24</formula1>
    </dataValidation>
    <dataValidation type="list" allowBlank="1" showErrorMessage="1" sqref="F3:F22 K3:K22">
      <formula1>"0 / No Process,1 / Implementing Process,2 / Developing POC Process,3 / Scaled Process,4 / Mature (Agile) Process"</formula1>
    </dataValidation>
  </dataValidations>
  <printOptions/>
  <pageMargins bottom="0.75" footer="0.0" header="0.0" left="0.7" right="0.7" top="0.75"/>
  <pageSetup orientation="landscape" paperHeight="8.5in" paperWidth="47.24409448818898i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13"/>
    <col customWidth="1" min="2" max="2" width="18.0"/>
    <col customWidth="1" min="3" max="3" width="22.63"/>
    <col customWidth="1" min="4" max="4" width="33.25"/>
    <col customWidth="1" min="5" max="6" width="12.63"/>
  </cols>
  <sheetData>
    <row r="1" ht="15.75" customHeight="1">
      <c r="A1" s="3"/>
      <c r="B1" s="66" t="s">
        <v>153</v>
      </c>
      <c r="G1" s="3"/>
    </row>
    <row r="2" ht="15.75" customHeight="1">
      <c r="A2" s="67" t="s">
        <v>154</v>
      </c>
      <c r="B2" s="67" t="s">
        <v>108</v>
      </c>
      <c r="C2" s="67" t="s">
        <v>109</v>
      </c>
      <c r="D2" s="67" t="s">
        <v>110</v>
      </c>
      <c r="E2" s="67" t="s">
        <v>111</v>
      </c>
      <c r="F2" s="67" t="s">
        <v>112</v>
      </c>
      <c r="G2" s="67"/>
      <c r="H2" s="67"/>
      <c r="I2" s="67"/>
      <c r="J2" s="67"/>
      <c r="K2" s="67"/>
      <c r="L2" s="67"/>
      <c r="M2" s="67"/>
      <c r="N2" s="67"/>
      <c r="O2" s="67"/>
      <c r="P2" s="67"/>
      <c r="Q2" s="67"/>
      <c r="R2" s="67"/>
      <c r="S2" s="67"/>
      <c r="T2" s="67"/>
      <c r="U2" s="67"/>
      <c r="V2" s="67"/>
      <c r="W2" s="67"/>
      <c r="X2" s="67"/>
      <c r="Y2" s="67"/>
    </row>
    <row r="3" ht="15.75" customHeight="1">
      <c r="A3" s="3" t="s">
        <v>155</v>
      </c>
      <c r="B3" s="3" t="s">
        <v>11</v>
      </c>
      <c r="C3" s="3" t="s">
        <v>22</v>
      </c>
      <c r="D3" s="3" t="s">
        <v>33</v>
      </c>
      <c r="E3" s="3" t="s">
        <v>44</v>
      </c>
      <c r="F3" s="3" t="s">
        <v>55</v>
      </c>
    </row>
    <row r="4" ht="15.75" customHeight="1">
      <c r="A4" s="3" t="s">
        <v>126</v>
      </c>
      <c r="B4" s="3" t="s">
        <v>13</v>
      </c>
      <c r="C4" s="3" t="s">
        <v>24</v>
      </c>
      <c r="D4" s="3" t="s">
        <v>35</v>
      </c>
      <c r="E4" s="3" t="s">
        <v>46</v>
      </c>
      <c r="F4" s="3" t="s">
        <v>57</v>
      </c>
    </row>
    <row r="5" ht="15.75" customHeight="1">
      <c r="A5" s="3" t="s">
        <v>117</v>
      </c>
      <c r="B5" s="3" t="s">
        <v>15</v>
      </c>
      <c r="C5" s="3" t="s">
        <v>156</v>
      </c>
      <c r="D5" s="3" t="s">
        <v>157</v>
      </c>
      <c r="E5" s="3" t="s">
        <v>158</v>
      </c>
      <c r="F5" s="3" t="s">
        <v>59</v>
      </c>
    </row>
    <row r="6" ht="15.75" customHeight="1">
      <c r="A6" s="3" t="s">
        <v>159</v>
      </c>
      <c r="B6" s="3" t="s">
        <v>17</v>
      </c>
      <c r="C6" s="3" t="s">
        <v>160</v>
      </c>
      <c r="D6" s="3" t="s">
        <v>39</v>
      </c>
      <c r="E6" s="3" t="s">
        <v>50</v>
      </c>
      <c r="F6" s="3" t="s">
        <v>61</v>
      </c>
    </row>
    <row r="7" ht="15.75" customHeight="1">
      <c r="A7" s="3" t="s">
        <v>140</v>
      </c>
      <c r="B7" s="3" t="s">
        <v>19</v>
      </c>
      <c r="C7" s="3" t="s">
        <v>30</v>
      </c>
      <c r="D7" s="3" t="s">
        <v>161</v>
      </c>
      <c r="E7" s="3" t="s">
        <v>52</v>
      </c>
      <c r="F7" s="3" t="s">
        <v>63</v>
      </c>
    </row>
    <row r="8" ht="15.75" customHeight="1">
      <c r="A8" s="3" t="s">
        <v>148</v>
      </c>
    </row>
    <row r="9" ht="15.75" customHeight="1">
      <c r="A9" s="3" t="s">
        <v>162</v>
      </c>
    </row>
    <row r="10" ht="15.75" customHeight="1">
      <c r="A10" s="3" t="s">
        <v>147</v>
      </c>
    </row>
    <row r="11" ht="15.75" customHeight="1">
      <c r="A11" s="3" t="s">
        <v>163</v>
      </c>
    </row>
    <row r="12" ht="15.75" customHeight="1">
      <c r="A12" s="3" t="s">
        <v>164</v>
      </c>
    </row>
    <row r="13" ht="15.75" customHeight="1">
      <c r="A13" s="3" t="s">
        <v>149</v>
      </c>
    </row>
    <row r="14" ht="15.75" customHeight="1">
      <c r="A14" s="3" t="s">
        <v>165</v>
      </c>
    </row>
    <row r="15" ht="15.75" customHeight="1">
      <c r="A15" s="3" t="s">
        <v>166</v>
      </c>
    </row>
    <row r="16" ht="15.75" customHeight="1">
      <c r="A16" s="3" t="s">
        <v>167</v>
      </c>
    </row>
    <row r="17" ht="15.75" customHeight="1">
      <c r="A17" s="3" t="s">
        <v>146</v>
      </c>
    </row>
    <row r="18" ht="15.75" customHeight="1">
      <c r="A18" s="3" t="s">
        <v>151</v>
      </c>
    </row>
    <row r="19" ht="15.75" customHeight="1">
      <c r="A19" s="3" t="s">
        <v>168</v>
      </c>
    </row>
    <row r="20" ht="15.75" customHeight="1">
      <c r="A20" s="3" t="s">
        <v>169</v>
      </c>
    </row>
    <row r="21" ht="15.75" customHeight="1">
      <c r="A21" s="3" t="s">
        <v>138</v>
      </c>
    </row>
    <row r="22" ht="15.75" customHeight="1">
      <c r="A22" s="3" t="s">
        <v>152</v>
      </c>
    </row>
    <row r="23" ht="15.75" customHeight="1">
      <c r="A23" s="3" t="s">
        <v>145</v>
      </c>
    </row>
    <row r="24" ht="15.75" customHeight="1">
      <c r="A24" s="3" t="s">
        <v>136</v>
      </c>
    </row>
    <row r="25" ht="15.75" customHeight="1"/>
    <row r="26" ht="15.75" customHeight="1"/>
    <row r="27" ht="15.75" customHeight="1"/>
    <row r="28" ht="15.75" customHeight="1">
      <c r="K28" s="3"/>
    </row>
    <row r="29" ht="15.75" customHeight="1">
      <c r="K29" s="3"/>
    </row>
    <row r="30" ht="15.75" customHeight="1">
      <c r="K30" s="3"/>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F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8.63"/>
    <col customWidth="1" min="2" max="2" width="3.0"/>
    <col customWidth="1" min="3" max="6" width="12.63"/>
    <col customWidth="1" min="9" max="9" width="13.0"/>
    <col customWidth="1" min="10" max="10" width="7.38"/>
    <col customWidth="1" min="13" max="13" width="12.63"/>
    <col customWidth="1" min="17" max="17" width="13.13"/>
  </cols>
  <sheetData>
    <row r="1" ht="15.75" customHeight="1">
      <c r="C1" s="68" t="s">
        <v>170</v>
      </c>
      <c r="D1" s="18"/>
      <c r="E1" s="18"/>
      <c r="F1" s="18"/>
      <c r="G1" s="18"/>
      <c r="H1" s="18"/>
      <c r="I1" s="18"/>
      <c r="J1" s="18"/>
      <c r="K1" s="18"/>
      <c r="L1" s="18"/>
      <c r="M1" s="18"/>
      <c r="N1" s="18"/>
      <c r="O1" s="18"/>
      <c r="P1" s="18"/>
      <c r="Q1" s="19"/>
    </row>
    <row r="2" ht="15.75" customHeight="1">
      <c r="C2" s="69"/>
      <c r="D2" s="69"/>
      <c r="E2" s="69"/>
      <c r="F2" s="69"/>
      <c r="G2" s="70"/>
      <c r="H2" s="69"/>
      <c r="I2" s="69"/>
      <c r="J2" s="69"/>
      <c r="K2" s="69"/>
      <c r="L2" s="69"/>
      <c r="M2" s="69"/>
      <c r="N2" s="69"/>
      <c r="O2" s="69"/>
      <c r="P2" s="69"/>
      <c r="Q2" s="69"/>
    </row>
    <row r="3" ht="15.75" customHeight="1">
      <c r="C3" s="69"/>
      <c r="D3" s="69"/>
      <c r="E3" s="69"/>
      <c r="F3" s="69"/>
      <c r="G3" s="69" t="s">
        <v>171</v>
      </c>
      <c r="H3" s="69"/>
      <c r="I3" s="71"/>
      <c r="J3" s="69"/>
      <c r="K3" s="69"/>
      <c r="L3" s="72"/>
      <c r="M3" s="72"/>
      <c r="N3" s="69"/>
      <c r="O3" s="69"/>
      <c r="P3" s="69"/>
      <c r="Q3" s="69"/>
    </row>
    <row r="4" ht="15.75" customHeight="1">
      <c r="C4" s="69"/>
      <c r="D4" s="69"/>
      <c r="E4" s="69"/>
      <c r="F4" s="69"/>
      <c r="G4" s="69" t="s">
        <v>172</v>
      </c>
      <c r="H4" s="69"/>
      <c r="I4" s="73"/>
      <c r="J4" s="69"/>
      <c r="K4" s="69"/>
      <c r="L4" s="72"/>
      <c r="M4" s="72"/>
      <c r="N4" s="69"/>
      <c r="O4" s="69"/>
      <c r="P4" s="69"/>
      <c r="Q4" s="69"/>
    </row>
    <row r="5" ht="15.75" customHeight="1">
      <c r="C5" s="69"/>
      <c r="D5" s="69"/>
      <c r="E5" s="69"/>
      <c r="F5" s="69"/>
      <c r="G5" s="70"/>
      <c r="H5" s="74"/>
      <c r="I5" s="18"/>
      <c r="J5" s="18"/>
      <c r="K5" s="18"/>
      <c r="L5" s="18"/>
      <c r="M5" s="19"/>
      <c r="N5" s="75"/>
      <c r="O5" s="75"/>
      <c r="P5" s="69"/>
      <c r="Q5" s="69"/>
    </row>
    <row r="6" ht="15.75" customHeight="1">
      <c r="C6" s="69"/>
      <c r="D6" s="69"/>
      <c r="E6" s="69"/>
      <c r="F6" s="69"/>
      <c r="G6" s="70"/>
      <c r="H6" s="75"/>
      <c r="I6" s="75"/>
      <c r="J6" s="75"/>
      <c r="K6" s="75"/>
      <c r="L6" s="75"/>
      <c r="M6" s="75"/>
      <c r="N6" s="69"/>
      <c r="O6" s="69"/>
      <c r="P6" s="69"/>
      <c r="Q6" s="69"/>
    </row>
    <row r="7" ht="15.75" customHeight="1">
      <c r="A7" s="76"/>
      <c r="B7" s="76"/>
      <c r="C7" s="3"/>
      <c r="D7" s="3"/>
      <c r="E7" s="3"/>
      <c r="F7" s="3"/>
      <c r="G7" s="67"/>
      <c r="H7" s="77"/>
      <c r="I7" s="77"/>
      <c r="J7" s="77"/>
      <c r="K7" s="77"/>
      <c r="L7" s="77"/>
      <c r="M7" s="77"/>
      <c r="N7" s="3"/>
      <c r="O7" s="3"/>
      <c r="P7" s="3"/>
      <c r="Q7" s="3"/>
      <c r="R7" s="76"/>
      <c r="S7" s="76"/>
      <c r="T7" s="76"/>
      <c r="U7" s="76"/>
      <c r="V7" s="76"/>
      <c r="W7" s="76"/>
      <c r="X7" s="76"/>
      <c r="Y7" s="76"/>
      <c r="Z7" s="76"/>
    </row>
    <row r="8" ht="22.5" customHeight="1">
      <c r="C8" s="78"/>
      <c r="D8" s="78"/>
      <c r="E8" s="78"/>
      <c r="F8" s="78"/>
      <c r="G8" s="79"/>
      <c r="H8" s="80"/>
      <c r="I8" s="81" t="s">
        <v>173</v>
      </c>
      <c r="J8" s="82" t="str">
        <f>'2. Take Assessment'!AJ3</f>
        <v>Engineering</v>
      </c>
      <c r="K8" s="80"/>
      <c r="L8" s="82"/>
      <c r="M8" s="80"/>
      <c r="N8" s="78"/>
      <c r="O8" s="82"/>
      <c r="P8" s="78"/>
      <c r="Q8" s="78"/>
    </row>
    <row r="9" ht="22.5" customHeight="1">
      <c r="C9" s="78"/>
      <c r="D9" s="78"/>
      <c r="E9" s="78"/>
      <c r="F9" s="78"/>
      <c r="G9" s="79"/>
      <c r="H9" s="80"/>
      <c r="I9" s="81" t="s">
        <v>174</v>
      </c>
      <c r="J9" s="82" t="str">
        <f>'2. Take Assessment'!AK3</f>
        <v>Architecting for Cloud</v>
      </c>
      <c r="K9" s="80"/>
      <c r="L9" s="82"/>
      <c r="M9" s="80"/>
      <c r="N9" s="78"/>
      <c r="O9" s="82"/>
      <c r="P9" s="78"/>
      <c r="Q9" s="78"/>
    </row>
    <row r="10" ht="15.75" customHeight="1"/>
    <row r="11" ht="15.75" customHeight="1">
      <c r="A11" s="83"/>
      <c r="B11" s="83"/>
      <c r="C11" s="84" t="s">
        <v>175</v>
      </c>
      <c r="D11" s="18"/>
      <c r="E11" s="18"/>
      <c r="F11" s="18"/>
      <c r="G11" s="18"/>
      <c r="H11" s="18"/>
      <c r="I11" s="19"/>
      <c r="J11" s="85"/>
      <c r="K11" s="84" t="s">
        <v>176</v>
      </c>
      <c r="L11" s="18"/>
      <c r="M11" s="18"/>
      <c r="N11" s="18"/>
      <c r="O11" s="18"/>
      <c r="P11" s="18"/>
      <c r="Q11" s="19"/>
      <c r="R11" s="83"/>
      <c r="S11" s="83"/>
      <c r="T11" s="83"/>
      <c r="U11" s="83"/>
      <c r="V11" s="83"/>
      <c r="W11" s="83"/>
      <c r="X11" s="83"/>
      <c r="Y11" s="83"/>
      <c r="Z11" s="83"/>
    </row>
    <row r="12" ht="15.75" customHeight="1">
      <c r="B12" s="86" t="s">
        <v>177</v>
      </c>
    </row>
    <row r="13" ht="15.75" customHeight="1">
      <c r="B13" s="87"/>
    </row>
    <row r="14" ht="15.75" customHeight="1">
      <c r="B14" s="87"/>
    </row>
    <row r="15" ht="15.75" customHeight="1">
      <c r="B15" s="87"/>
    </row>
    <row r="16" ht="15.75" customHeight="1">
      <c r="B16" s="87"/>
    </row>
    <row r="17" ht="15.75" customHeight="1">
      <c r="B17" s="87"/>
    </row>
    <row r="18" ht="15.75" customHeight="1">
      <c r="B18" s="87"/>
    </row>
    <row r="19" ht="15.75" customHeight="1">
      <c r="B19" s="87"/>
    </row>
    <row r="20" ht="15.75" customHeight="1">
      <c r="B20" s="87"/>
    </row>
    <row r="21" ht="15.75" customHeight="1">
      <c r="B21" s="87"/>
    </row>
    <row r="22" ht="15.75" customHeight="1">
      <c r="B22" s="87"/>
    </row>
    <row r="23" ht="15.75" customHeight="1">
      <c r="B23" s="87"/>
    </row>
    <row r="24" ht="15.75" customHeight="1">
      <c r="B24" s="87"/>
    </row>
    <row r="25" ht="15.75" customHeight="1">
      <c r="B25" s="87"/>
    </row>
    <row r="26" ht="15.75" customHeight="1">
      <c r="B26" s="87"/>
    </row>
    <row r="27" ht="15.75" customHeight="1">
      <c r="B27" s="87"/>
    </row>
    <row r="28" ht="15.75" customHeight="1">
      <c r="B28" s="87"/>
    </row>
    <row r="29" ht="15.75" customHeight="1">
      <c r="B29" s="87"/>
    </row>
    <row r="30" ht="15.75" customHeight="1">
      <c r="B30" s="88"/>
    </row>
    <row r="31" ht="15.75" customHeight="1"/>
    <row r="32" ht="15.75" customHeight="1">
      <c r="B32" s="86" t="s">
        <v>178</v>
      </c>
    </row>
    <row r="33" ht="15.75" customHeight="1">
      <c r="B33" s="87"/>
    </row>
    <row r="34" ht="15.75" customHeight="1">
      <c r="B34" s="87"/>
    </row>
    <row r="35" ht="15.75" customHeight="1">
      <c r="B35" s="87"/>
    </row>
    <row r="36" ht="15.75" customHeight="1">
      <c r="B36" s="87"/>
    </row>
    <row r="37" ht="15.75" customHeight="1">
      <c r="B37" s="87"/>
    </row>
    <row r="38" ht="15.75" customHeight="1">
      <c r="B38" s="87"/>
    </row>
    <row r="39" ht="15.75" customHeight="1">
      <c r="B39" s="87"/>
    </row>
    <row r="40" ht="15.75" customHeight="1">
      <c r="B40" s="87"/>
    </row>
    <row r="41" ht="15.75" customHeight="1">
      <c r="B41" s="87"/>
    </row>
    <row r="42" ht="15.75" customHeight="1">
      <c r="B42" s="87"/>
    </row>
    <row r="43" ht="15.75" customHeight="1">
      <c r="B43" s="87"/>
    </row>
    <row r="44" ht="15.75" customHeight="1">
      <c r="B44" s="87"/>
    </row>
    <row r="45" ht="15.75" customHeight="1">
      <c r="B45" s="87"/>
    </row>
    <row r="46" ht="15.75" customHeight="1">
      <c r="B46" s="87"/>
    </row>
    <row r="47" ht="15.75" customHeight="1">
      <c r="B47" s="87"/>
    </row>
    <row r="48" ht="15.75" customHeight="1">
      <c r="B48" s="87"/>
    </row>
    <row r="49" ht="15.75" customHeight="1">
      <c r="B49" s="87"/>
    </row>
    <row r="50" ht="15.75" customHeight="1">
      <c r="B50" s="87"/>
    </row>
    <row r="51" ht="15.0" customHeight="1">
      <c r="B51" s="88"/>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Q1"/>
    <mergeCell ref="H5:M5"/>
    <mergeCell ref="C11:I11"/>
    <mergeCell ref="K11:Q11"/>
    <mergeCell ref="B12:B30"/>
    <mergeCell ref="B32:B5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2025-03-06T23:54:43Z</dcterms:created>
</cp:coreProperties>
</file>